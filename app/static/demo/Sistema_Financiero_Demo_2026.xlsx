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ICIO" sheetId="1" state="visible" r:id="rId1"/>
    <sheet name="DASHBOARD" sheetId="2" state="visible" r:id="rId2"/>
    <sheet name="MENU" sheetId="3" state="visible" r:id="rId3"/>
    <sheet name="EMPRESA" sheetId="4" state="visible" r:id="rId4"/>
    <sheet name="PARAMETROS" sheetId="5" state="visible" r:id="rId5"/>
    <sheet name="CATEGORIAS" sheetId="6" state="visible" r:id="rId6"/>
    <sheet name="IMPUESTOS" sheetId="7" state="visible" r:id="rId7"/>
    <sheet name="TIPOS_DOCUMENTOS" sheetId="8" state="visible" r:id="rId8"/>
    <sheet name="ESTADOS" sheetId="9" state="visible" r:id="rId9"/>
    <sheet name="MEDIOS_PAGO" sheetId="10" state="visible" r:id="rId10"/>
    <sheet name="USUARIOS_ROLES" sheetId="11" state="visible" r:id="rId11"/>
    <sheet name="TERCEROS" sheetId="12" state="visible" r:id="rId12"/>
    <sheet name="DOCUMENTOS" sheetId="13" state="visible" r:id="rId13"/>
    <sheet name="MOVIMIENTOS" sheetId="14" state="visible" r:id="rId14"/>
    <sheet name="PAGOS" sheetId="15" state="visible" r:id="rId15"/>
    <sheet name="COBROS" sheetId="16" state="visible" r:id="rId16"/>
    <sheet name="CUENTAS" sheetId="17" state="visible" r:id="rId17"/>
    <sheet name="ASISTENTE" sheetId="18" state="visible" r:id="rId18"/>
    <sheet name="REGLAS_IA" sheetId="19" state="visible" r:id="rId19"/>
    <sheet name="INGRESOS" sheetId="20" state="visible" r:id="rId20"/>
    <sheet name="GASTOS" sheetId="21" state="visible" r:id="rId21"/>
    <sheet name="FLUJO_CAJA" sheetId="22" state="visible" r:id="rId22"/>
    <sheet name="CXC" sheetId="23" state="visible" r:id="rId23"/>
    <sheet name="CXP" sheetId="24" state="visible" r:id="rId24"/>
    <sheet name="IMPUESTOS_REPORTE" sheetId="25" state="visible" r:id="rId25"/>
    <sheet name="REPORTE_MENSUAL" sheetId="26" state="visible" r:id="rId26"/>
    <sheet name="REPORTE_ANUAL" sheetId="27" state="visible" r:id="rId27"/>
    <sheet name="LOG" sheetId="28" state="visible" r:id="rId28"/>
  </sheets>
  <definedNames>
    <definedName name="Lst_Categoria">'CATEGORIAS'!$C$5:$C$1004</definedName>
    <definedName name="Lst_Cuenta">'CUENTAS'!$B$5:$B$504</definedName>
    <definedName name="Lst_EstadoDocumento">"Validado,Pendiente,Error,Revision Manual,Duplicado"</definedName>
    <definedName name="Lst_EstadoMovimiento">"Pendiente,Pagado,Anulado"</definedName>
    <definedName name="Lst_EstadoPagoCobro">"Pendiente,Aplicado,Anulado"</definedName>
    <definedName name="Lst_MedioPago">MEDIOS_PAGO!$B$5:$B$1004</definedName>
    <definedName name="Lst_MetodoExtraccion">"XML,PDF,OCR,Manual,IA"</definedName>
    <definedName name="Lst_TerceroNombre">TERCEROS!$C$5:$C$2004</definedName>
    <definedName name="Lst_TipoArchivo">"PDF,JPG,PNG,XML,CSV,Otro"</definedName>
    <definedName name="Lst_TipoDocumentoNombre">TIPOS_DOCUMENTOS!$B$5:$B$1004</definedName>
    <definedName name="Lst_TipoMovimiento">"Ingreso,Gasto,Compra,Venta,Otro"</definedName>
    <definedName name="Lst_TipoTercero">"Cliente,Proveedor,Empleado,Socio,Entidad publica,Otro"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\ #,##0"/>
    <numFmt numFmtId="165" formatCode="dd/mm/yyyy"/>
    <numFmt numFmtId="166" formatCode="&quot;$&quot;\ #,##0;\-&quot;$&quot;\ #,##0;&quot;&quot;"/>
  </numFmts>
  <fonts count="14">
    <font>
      <name val="Calibri"/>
      <family val="2"/>
      <color theme="1"/>
      <sz val="11"/>
      <scheme val="minor"/>
    </font>
    <font>
      <name val="Calibri"/>
      <b val="1"/>
      <color rgb="FF1F4E78"/>
      <sz val="16"/>
    </font>
    <font>
      <name val="Calibri"/>
      <i val="1"/>
      <color rgb="FF666666"/>
      <sz val="10"/>
    </font>
    <font>
      <name val="Calibri"/>
      <i val="1"/>
      <color rgb="FF666666"/>
      <sz val="9"/>
    </font>
    <font>
      <name val="Calibri"/>
      <b val="1"/>
      <color rgb="FF1155CC"/>
      <sz val="12"/>
      <u val="single"/>
    </font>
    <font>
      <name val="Calibri"/>
      <b val="1"/>
      <color rgb="FFB7791F"/>
      <sz val="11"/>
    </font>
    <font>
      <name val="Calibri"/>
      <i val="1"/>
      <color rgb="FF808080"/>
      <sz val="9"/>
    </font>
    <font>
      <name val="Calibri"/>
      <b val="1"/>
      <sz val="11"/>
    </font>
    <font>
      <name val="Consolas"/>
      <sz val="9"/>
    </font>
    <font>
      <name val="Calibri"/>
      <sz val="9"/>
    </font>
    <font>
      <name val="Calibri"/>
      <b val="1"/>
      <color rgb="FFFFFFFF"/>
      <sz val="10"/>
    </font>
    <font>
      <name val="Calibri"/>
      <b val="1"/>
      <color rgb="FF1155CC"/>
      <sz val="11"/>
      <u val="single"/>
    </font>
    <font>
      <name val="Calibri"/>
      <b val="1"/>
      <color rgb="FFFFFFFF"/>
      <sz val="11"/>
      <u val="single"/>
    </font>
    <font>
      <name val="Calibri"/>
      <color rgb="FF333333"/>
      <sz val="10"/>
    </font>
  </fonts>
  <fills count="8">
    <fill>
      <patternFill/>
    </fill>
    <fill>
      <patternFill patternType="gray125"/>
    </fill>
    <fill>
      <patternFill patternType="solid">
        <fgColor rgb="FFEAF1FB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EFDA"/>
      </patternFill>
    </fill>
    <fill>
      <patternFill patternType="solid">
        <fgColor rgb="FFB7791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164" fontId="0" fillId="6" borderId="1" pivotButton="0" quotePrefix="0" xfId="0"/>
    <xf numFmtId="3" fontId="0" fillId="6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10" fillId="3" borderId="0" applyAlignment="1" applyProtection="1" pivotButton="0" quotePrefix="0" xfId="0">
      <alignment horizontal="center" vertical="center" wrapText="1"/>
      <protection locked="0" hidden="0"/>
    </xf>
    <xf numFmtId="165" fontId="0" fillId="0" borderId="0" pivotButton="0" quotePrefix="0" xfId="0"/>
    <xf numFmtId="164" fontId="0" fillId="0" borderId="0" pivotButton="0" quotePrefix="0" xfId="0"/>
    <xf numFmtId="165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6" fontId="0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1" fontId="0" fillId="0" borderId="0" applyProtection="1" pivotButton="0" quotePrefix="0" xfId="0">
      <protection locked="0" hidden="0"/>
    </xf>
    <xf numFmtId="1" fontId="0" fillId="0" borderId="0" pivotButton="0" quotePrefix="0" xfId="0"/>
    <xf numFmtId="0" fontId="0" fillId="4" borderId="0" pivotButton="0" quotePrefix="0" xfId="0"/>
    <xf numFmtId="0" fontId="10" fillId="7" borderId="0" applyAlignment="1" pivotButton="0" quotePrefix="0" xfId="0">
      <alignment horizontal="center" vertical="center" wrapText="1"/>
    </xf>
    <xf numFmtId="164" fontId="7" fillId="0" borderId="0" pivotButton="0" quotePrefix="0" xfId="0"/>
    <xf numFmtId="0" fontId="12" fillId="3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164" fontId="0" fillId="6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7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dxfs count="8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Ingresos vs Gastos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cat>
            <strRef>
              <f>DASHBOARD!$A$14:$A$15</f>
              <strCache>
                <ptCount val="2"/>
                <pt idx="0">
                  <v>Ingresos</v>
                </pt>
                <pt idx="1">
                  <v>Gastos</v>
                </pt>
              </strCache>
            </strRef>
          </cat>
          <val>
            <numRef>
              <f>DASHBOARD!$B$14:$B$15</f>
              <numCache>
                <formatCode>"$"\ #,##0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Indicador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COP</a:t>
                </a:r>
              </a:p>
            </rich>
          </tx>
          <overlay val="1"/>
        </title>
        <numFmt formatCode="&quot;$&quot;\ 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RESA" displayName="EMPRESA" ref="A4:B17" headerRowCount="1">
  <autoFilter ref="A4:B17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AMETROS" displayName="PARAMETROS" ref="A4:E11" headerRowCount="1">
  <autoFilter ref="A4:E11"/>
  <tableColumns count="5">
    <tableColumn id="1" name="Codigo"/>
    <tableColumn id="2" name="Parametro"/>
    <tableColumn id="3" name="Valor"/>
    <tableColumn id="4" name="Tipo"/>
    <tableColumn id="5" name="Descrip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IAS" displayName="CATEGORIAS" ref="A4:F16" headerRowCount="1">
  <autoFilter ref="A4:F16"/>
  <tableColumns count="6">
    <tableColumn id="1" name="Codigo"/>
    <tableColumn id="2" name="Tipo"/>
    <tableColumn id="3" name="Categoria"/>
    <tableColumn id="4" name="Subcategoria"/>
    <tableColumn id="5" name="Activa"/>
    <tableColumn id="6" name="Descrip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UESTOS" displayName="IMPUESTOS" ref="A4:H9" headerRowCount="1">
  <autoFilter ref="A4:H9"/>
  <tableColumns count="8">
    <tableColumn id="1" name="Codigo"/>
    <tableColumn id="2" name="Impuesto"/>
    <tableColumn id="3" name="Porcentaje"/>
    <tableColumn id="4" name="Tipo"/>
    <tableColumn id="5" name="Base"/>
    <tableColumn id="6" name="CuentaAsociada"/>
    <tableColumn id="7" name="Activo"/>
    <tableColumn id="8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IPOS_DOCUMENTOS" displayName="TIPOS_DOCUMENTOS" ref="A4:F15" headerRowCount="1">
  <autoFilter ref="A4:F15"/>
  <tableColumns count="6">
    <tableColumn id="1" name="Codigo"/>
    <tableColumn id="2" name="TipoDocumento"/>
    <tableColumn id="3" name="Prefijo"/>
    <tableColumn id="4" name="RequiereCUFE"/>
    <tableColumn id="5" name="Activo"/>
    <tableColumn id="6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STADOS" displayName="ESTADOS" ref="A4:E15" headerRowCount="1">
  <autoFilter ref="A4:E15"/>
  <tableColumns count="5">
    <tableColumn id="1" name="Codigo"/>
    <tableColumn id="2" name="Estado"/>
    <tableColumn id="3" name="Ambito"/>
    <tableColumn id="4" name="Activo"/>
    <tableColumn id="5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DIOS_PAGO" displayName="MEDIOS_PAGO" ref="A4:D11" headerRowCount="1">
  <autoFilter ref="A4:D11"/>
  <tableColumns count="4">
    <tableColumn id="1" name="Codigo"/>
    <tableColumn id="2" name="MedioPago"/>
    <tableColumn id="3" name="Activo"/>
    <tableColumn id="4" name="Descrip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USUARIOS" displayName="USUARIOS" ref="A4:F8" headerRowCount="1">
  <autoFilter ref="A4:F8"/>
  <tableColumns count="6">
    <tableColumn id="1" name="ID"/>
    <tableColumn id="2" name="Usuario"/>
    <tableColumn id="3" name="Rol"/>
    <tableColumn id="4" name="Email"/>
    <tableColumn id="5" name="Activo"/>
    <tableColumn id="6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ERCEROS" displayName="TERCEROS" ref="A4:L34" headerRowCount="1">
  <autoFilter ref="A4:L34"/>
  <tableColumns count="12">
    <tableColumn id="1" name="ID"/>
    <tableColumn id="2" name="Tipo"/>
    <tableColumn id="3" name="NombreRazonSocial"/>
    <tableColumn id="4" name="NIT_ID"/>
    <tableColumn id="5" name="Contacto"/>
    <tableColumn id="6" name="Email"/>
    <tableColumn id="7" name="Telefono"/>
    <tableColumn id="8" name="Direccion"/>
    <tableColumn id="9" name="Ciudad"/>
    <tableColumn id="10" name="Estado"/>
    <tableColumn id="11" name="Observaciones"/>
    <tableColumn id="12" name="ClaveDuplic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OCUMENTOS" displayName="DOCUMENTOS" ref="A4:S44" headerRowCount="1">
  <autoFilter ref="A4:S44"/>
  <tableColumns count="19">
    <tableColumn id="1" name="ID"/>
    <tableColumn id="2" name="Fecha"/>
    <tableColumn id="3" name="TipoDocumento"/>
    <tableColumn id="4" name="Numero"/>
    <tableColumn id="5" name="Tercero"/>
    <tableColumn id="6" name="Identificacion"/>
    <tableColumn id="7" name="Subtotal"/>
    <tableColumn id="8" name="Impuestos"/>
    <tableColumn id="9" name="Retenciones"/>
    <tableColumn id="10" name="Total"/>
    <tableColumn id="11" name="CUFE_Referencia"/>
    <tableColumn id="12" name="Estado"/>
    <tableColumn id="13" name="RutaArchivo"/>
    <tableColumn id="14" name="NombreArchivo"/>
    <tableColumn id="15" name="TipoArchivo"/>
    <tableColumn id="16" name="FechaExtraccion"/>
    <tableColumn id="17" name="MetodoExtraccion"/>
    <tableColumn id="18" name="Confianza"/>
    <tableColumn id="19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MOVIMIENTOS" displayName="MOVIMIENTOS" ref="A4:R64" headerRowCount="1">
  <autoFilter ref="A4:R64"/>
  <tableColumns count="18">
    <tableColumn id="1" name="ID"/>
    <tableColumn id="2" name="Fecha"/>
    <tableColumn id="3" name="Tipo"/>
    <tableColumn id="4" name="Documento"/>
    <tableColumn id="5" name="Tercero"/>
    <tableColumn id="6" name="NIT_ID"/>
    <tableColumn id="7" name="Concepto"/>
    <tableColumn id="8" name="Categoria"/>
    <tableColumn id="9" name="Subcategoria"/>
    <tableColumn id="10" name="MedioPago"/>
    <tableColumn id="11" name="Cuenta"/>
    <tableColumn id="12" name="Subtotal"/>
    <tableColumn id="13" name="Impuestos"/>
    <tableColumn id="14" name="Retenciones"/>
    <tableColumn id="15" name="Total"/>
    <tableColumn id="16" name="Estado"/>
    <tableColumn id="17" name="SoporteID"/>
    <tableColumn id="18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AGOS" displayName="PAGOS" ref="A4:I24" headerRowCount="1">
  <autoFilter ref="A4:I24"/>
  <tableColumns count="9">
    <tableColumn id="1" name="ID"/>
    <tableColumn id="2" name="Fecha"/>
    <tableColumn id="3" name="MovimientoID"/>
    <tableColumn id="4" name="Tercero"/>
    <tableColumn id="5" name="Cuenta"/>
    <tableColumn id="6" name="MedioPago"/>
    <tableColumn id="7" name="ValorPagado"/>
    <tableColumn id="8" name="Estado"/>
    <tableColumn id="9" name="Observacion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OBROS" displayName="COBROS" ref="A4:I24" headerRowCount="1">
  <autoFilter ref="A4:I24"/>
  <tableColumns count="9">
    <tableColumn id="1" name="ID"/>
    <tableColumn id="2" name="Fecha"/>
    <tableColumn id="3" name="MovimientoID"/>
    <tableColumn id="4" name="Tercero"/>
    <tableColumn id="5" name="Cuenta"/>
    <tableColumn id="6" name="MedioPago"/>
    <tableColumn id="7" name="ValorCobrado"/>
    <tableColumn id="8" name="Estado"/>
    <tableColumn id="9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UENTAS" displayName="CUENTAS" ref="A4:I8" headerRowCount="1">
  <autoFilter ref="A4:I8"/>
  <tableColumns count="9">
    <tableColumn id="1" name="ID"/>
    <tableColumn id="2" name="Cuenta"/>
    <tableColumn id="3" name="Tipo"/>
    <tableColumn id="4" name="Entidad"/>
    <tableColumn id="5" name="NumeroReferencia"/>
    <tableColumn id="6" name="SaldoInicial"/>
    <tableColumn id="7" name="SaldoActual"/>
    <tableColumn id="8" name="Activa"/>
    <tableColumn id="9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EGLAS_IA" displayName="REGLAS_IA" ref="A4:L104" headerRowCount="1">
  <autoFilter ref="A4:L104"/>
  <tableColumns count="12">
    <tableColumn id="1" name="ID"/>
    <tableColumn id="2" name="Activa"/>
    <tableColumn id="3" name="PalabraClave"/>
    <tableColumn id="4" name="Tipo"/>
    <tableColumn id="5" name="Categoria"/>
    <tableColumn id="6" name="Subcategoria"/>
    <tableColumn id="7" name="MedioPago"/>
    <tableColumn id="8" name="Cuenta"/>
    <tableColumn id="9" name="TerceroOpcional"/>
    <tableColumn id="10" name="Prioridad"/>
    <tableColumn id="11" name="Coincidencia"/>
    <tableColumn id="12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OG" displayName="LOG" ref="A4:I204" headerRowCount="1">
  <autoFilter ref="A4:I204"/>
  <tableColumns count="9">
    <tableColumn id="1" name="Fecha"/>
    <tableColumn id="2" name="Hora"/>
    <tableColumn id="3" name="Usuario"/>
    <tableColumn id="4" name="Accion"/>
    <tableColumn id="5" name="Modulo"/>
    <tableColumn id="6" name="RegistroAfectado"/>
    <tableColumn id="7" name="ValorAnterior"/>
    <tableColumn id="8" name="ValorNuevo"/>
    <tableColumn id="9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tabColor rgb="FF5A5A5A"/>
    <outlinePr summaryBelow="1" summaryRight="1"/>
    <pageSetUpPr/>
  </sheetPr>
  <dimension ref="A1:I26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10" defaultColWidth="9.140625" defaultRowHeight="15"/>
  <cols>
    <col width="18" customWidth="1" style="33" min="1" max="9"/>
  </cols>
  <sheetData>
    <row r="1" ht="21" customHeight="1" s="33">
      <c r="A1" s="1" t="inlineStr">
        <is>
          <t>SISTEMA FINANCIERO · DEMO — DATOS FICTICIOS</t>
        </is>
      </c>
    </row>
    <row r="2">
      <c r="A2" s="2" t="inlineStr">
        <is>
          <t>LIBRO DE SIMULACIÓN. No usar para registrar operaciones reales ni como liquidación tributaria.</t>
        </is>
      </c>
    </row>
    <row r="4">
      <c r="A4" s="3" t="inlineStr">
        <is>
          <t>TAREAS FRECUENTES</t>
        </is>
      </c>
    </row>
    <row r="6" ht="26.1" customHeight="1" s="33">
      <c r="A6" s="32" t="inlineStr">
        <is>
          <t>1. CONFIGURAR EMPRESA</t>
        </is>
      </c>
      <c r="F6" s="32" t="inlineStr">
        <is>
          <t>2. REGISTRAR MOVIMIENTO</t>
        </is>
      </c>
    </row>
    <row r="7" ht="24" customHeight="1" s="33">
      <c r="A7" s="35" t="inlineStr">
        <is>
          <t>Actualice datos, moneda y parámetros.</t>
        </is>
      </c>
      <c r="F7" s="35" t="inlineStr">
        <is>
          <t>Capture ingreso, gasto, compra o venta.</t>
        </is>
      </c>
    </row>
    <row r="8" ht="18" customHeight="1" s="33"/>
    <row r="10" ht="26.1" customHeight="1" s="33">
      <c r="A10" s="32" t="inlineStr">
        <is>
          <t>3. ASISTENTE LOCAL</t>
        </is>
      </c>
      <c r="F10" s="32" t="inlineStr">
        <is>
          <t>4. REVISAR DOCUMENTOS</t>
        </is>
      </c>
    </row>
    <row r="11" ht="24" customHeight="1" s="33">
      <c r="A11" s="35" t="inlineStr">
        <is>
          <t>Reciba una sugerencia y revísela.</t>
        </is>
      </c>
      <c r="F11" s="35" t="inlineStr">
        <is>
          <t>Consulte soportes y complete datos.</t>
        </is>
      </c>
    </row>
    <row r="12" ht="18" customHeight="1" s="33"/>
    <row r="14" ht="26.1" customHeight="1" s="33">
      <c r="A14" s="32" t="inlineStr">
        <is>
          <t>5. VER INDICADORES</t>
        </is>
      </c>
      <c r="F14" s="32" t="inlineStr">
        <is>
          <t>6. ABRIR REPORTES</t>
        </is>
      </c>
    </row>
    <row r="15" ht="24" customHeight="1" s="33">
      <c r="A15" s="35" t="inlineStr">
        <is>
          <t>Filtre ingresos, gastos y pendientes.</t>
        </is>
      </c>
      <c r="F15" s="35" t="inlineStr">
        <is>
          <t>Consulte periodos mensual y anual.</t>
        </is>
      </c>
    </row>
    <row r="16" ht="18" customHeight="1" s="33"/>
    <row r="18">
      <c r="A18" s="3" t="inlineStr">
        <is>
          <t>PRIMEROS PASOS</t>
        </is>
      </c>
    </row>
    <row r="19">
      <c r="A19" t="inlineStr">
        <is>
          <t>1. Configure empresa, categorías, cuentas y terceros.</t>
        </is>
      </c>
    </row>
    <row r="20">
      <c r="A20" t="inlineStr">
        <is>
          <t>2. Registre una operación o use el asistente para clasificar el concepto.</t>
        </is>
      </c>
    </row>
    <row r="21">
      <c r="A21" t="inlineStr">
        <is>
          <t>3. Revise los indicadores y conserve el soporte relacionado.</t>
        </is>
      </c>
    </row>
    <row r="23">
      <c r="A23" s="34" t="inlineStr">
        <is>
          <t>El libro XLSX permite captura, fórmulas y sugerencias locales. La importación de archivos, lectura XML y altas automáticas requieren la copia XLSM con los módulos VBA instalados.</t>
        </is>
      </c>
    </row>
    <row r="24"/>
    <row r="26">
      <c r="A26" s="4" t="inlineStr">
        <is>
          <t>Ver todos los módulos</t>
        </is>
      </c>
      <c r="F26" s="4" t="inlineStr">
        <is>
          <t>Editar reglas del asistente</t>
        </is>
      </c>
    </row>
  </sheetData>
  <mergeCells count="13">
    <mergeCell ref="F14:I14"/>
    <mergeCell ref="A23:I24"/>
    <mergeCell ref="A6:D6"/>
    <mergeCell ref="A11:D12"/>
    <mergeCell ref="A14:D14"/>
    <mergeCell ref="A15:D16"/>
    <mergeCell ref="A7:D8"/>
    <mergeCell ref="A10:D10"/>
    <mergeCell ref="F7:I8"/>
    <mergeCell ref="F10:I10"/>
    <mergeCell ref="F15:I16"/>
    <mergeCell ref="F6:I6"/>
    <mergeCell ref="F11:I12"/>
  </mergeCells>
  <hyperlinks>
    <hyperlink ref="A6" location="'EMPRESA'!A1" display="1. CONFIGURAR EMPRESA"/>
    <hyperlink ref="F6" location="'MOVIMIENTOS'!A1" display="2. REGISTRAR MOVIMIENTO"/>
    <hyperlink ref="A10" location="'ASISTENTE'!A1" display="3. ASISTENTE LOCAL"/>
    <hyperlink ref="F10" location="'DOCUMENTOS'!A1" display="4. REVISAR DOCUMENTOS"/>
    <hyperlink ref="A14" location="'DASHBOARD'!A1" display="5. VER INDICADORES"/>
    <hyperlink ref="F14" location="'REPORTE_MENSUAL'!A1" display="6. ABRIR REPORTES"/>
    <hyperlink ref="A26" location="'MENU'!A1" display="Ver todos los módulos"/>
    <hyperlink ref="F26" location="'REGLAS_IA'!A1" display="Editar reglas del asistente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7791F"/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2" customWidth="1" style="33" min="1" max="1"/>
    <col width="22" customWidth="1" style="33" min="2" max="2"/>
  </cols>
  <sheetData>
    <row r="1" ht="21" customHeight="1" s="33">
      <c r="A1" s="1" t="inlineStr">
        <is>
          <t>DASHBOARD</t>
        </is>
      </c>
    </row>
    <row r="2">
      <c r="A2" s="2" t="inlineStr">
        <is>
          <t>Indicadores financieros - se actualiza automaticamente desde MOVIMIENTOS y DOCUMENTOS</t>
        </is>
      </c>
    </row>
    <row r="4">
      <c r="A4" s="3" t="inlineStr">
        <is>
          <t>FILTROS</t>
        </is>
      </c>
    </row>
    <row r="5">
      <c r="A5" t="inlineStr">
        <is>
          <t>Anio (vacio = todos)</t>
        </is>
      </c>
      <c r="B5" s="5" t="n">
        <v>2026</v>
      </c>
    </row>
    <row r="6">
      <c r="A6" t="inlineStr">
        <is>
          <t>Mes (1-12, vacio = todos)</t>
        </is>
      </c>
      <c r="B6" s="5" t="n">
        <v>9</v>
      </c>
    </row>
    <row r="7">
      <c r="A7" t="inlineStr">
        <is>
          <t>Tipo (vacio = todos)</t>
        </is>
      </c>
      <c r="B7" s="5" t="n"/>
    </row>
    <row r="8">
      <c r="A8" t="inlineStr">
        <is>
          <t>Categoria (vacio = todos)</t>
        </is>
      </c>
      <c r="B8" s="5" t="n"/>
    </row>
    <row r="9">
      <c r="A9" t="inlineStr">
        <is>
          <t>Tercero (vacio = todos)</t>
        </is>
      </c>
      <c r="B9" s="5" t="n"/>
    </row>
    <row r="10">
      <c r="A10" t="inlineStr">
        <is>
          <t>Cuenta (vacio = todos)</t>
        </is>
      </c>
      <c r="B10" s="5" t="n"/>
    </row>
    <row r="11">
      <c r="A11" t="inlineStr">
        <is>
          <t>Estado (vacio = todos)</t>
        </is>
      </c>
      <c r="B11" s="5" t="n"/>
    </row>
    <row r="13">
      <c r="A13" s="3" t="inlineStr">
        <is>
          <t>INDICADORES</t>
        </is>
      </c>
    </row>
    <row r="14">
      <c r="A14" s="6" t="inlineStr">
        <is>
          <t>Ingresos</t>
        </is>
      </c>
      <c r="B14" s="40">
        <f>SUMPRODUCT(((MOVIMIENTOS!$C$5:$C$10004="Ingreso")+(MOVIMIENTOS!$C$5:$C$10004="Venta"))*((($B$11="")*(MOVIMIENTOS!$P$5:$P$10004="Pagado"))+(($B$11&lt;&gt;"")*(MOVIMIENTOS!$P$5:$P$10004=$B$11)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MOVIMIENTOS!$O$5:$O$10004)</f>
        <v/>
      </c>
    </row>
    <row r="15">
      <c r="A15" s="6" t="inlineStr">
        <is>
          <t>Gastos</t>
        </is>
      </c>
      <c r="B15" s="40">
        <f>SUMPRODUCT(((MOVIMIENTOS!$C$5:$C$10004="Gasto")+(MOVIMIENTOS!$C$5:$C$10004="Compra"))*((($B$11="")*(MOVIMIENTOS!$P$5:$P$10004="Pagado"))+(($B$11&lt;&gt;"")*(MOVIMIENTOS!$P$5:$P$10004=$B$11)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MOVIMIENTOS!$O$5:$O$10004)</f>
        <v/>
      </c>
    </row>
    <row r="16">
      <c r="A16" s="6" t="inlineStr">
        <is>
          <t>Flujo Neto</t>
        </is>
      </c>
      <c r="B16" s="40">
        <f>B14-B15</f>
        <v/>
      </c>
    </row>
    <row r="17">
      <c r="A17" s="6" t="inlineStr">
        <is>
          <t>Cuentas por Cobrar</t>
        </is>
      </c>
      <c r="B17" s="40">
        <f>SUMPRODUCT(((MOVIMIENTOS!$C$5:$C$10004="Ingreso")+(MOVIMIENTOS!$C$5:$C$10004="Venta"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((($B$11="")+($B$11="Pendiente"))*(MOVIMIENTOS!$P$5:$P$10004="Pendiente"))*MOVIMIENTOS!$O$5:$O$10004)</f>
        <v/>
      </c>
    </row>
    <row r="18">
      <c r="A18" s="6" t="inlineStr">
        <is>
          <t>Cuentas por Pagar</t>
        </is>
      </c>
      <c r="B18" s="40">
        <f>SUMPRODUCT(((MOVIMIENTOS!$C$5:$C$10004="Gasto")+(MOVIMIENTOS!$C$5:$C$10004="Compra"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((($B$11="")+($B$11="Pendiente"))*(MOVIMIENTOS!$P$5:$P$10004="Pendiente"))*MOVIMIENTOS!$O$5:$O$10004)</f>
        <v/>
      </c>
    </row>
    <row r="19">
      <c r="A19" s="6" t="inlineStr">
        <is>
          <t>Impuestos Recaudados/Pagados</t>
        </is>
      </c>
      <c r="B19" s="40">
        <f>SUMPRODUCT(((($B$11="")*(MOVIMIENTOS!$P$5:$P$10004="Pagado"))+(($B$11&lt;&gt;"")*(MOVIMIENTOS!$P$5:$P$10004=$B$11)))*(($B$5="")+(YEAR(MOVIMIENTOS!$B$5:$B$10004)=$B$5))*(($B$6="")+(MONTH(MOVIMIENTOS!$B$5:$B$10004)=$B$6))*(($B$7="")+(MOVIMIENTOS!$C$5:$C$10004=$B$7))*(($B$8="")+(MOVIMIENTOS!$H$5:$H$10004=$B$8))*(($B$9="")+(MOVIMIENTOS!$E$5:$E$10004=$B$9))*(($B$10="")+(MOVIMIENTOS!$K$5:$K$10004=$B$10))*MOVIMIENTOS!$M$5:$M$10004)</f>
        <v/>
      </c>
    </row>
    <row r="20">
      <c r="A20" s="6" t="inlineStr">
        <is>
          <t>Documentos Registrados</t>
        </is>
      </c>
      <c r="B20" s="8">
        <f>SUMPRODUCT((($B$5="")+(YEAR(DOCUMENTOS!$B$5:$B$10004)=$B$5))*(($B$6="")+(MONTH(DOCUMENTOS!$B$5:$B$10004)=$B$6))*(($B$9="")+(DOCUMENTOS!$E$5:$E$10004=$B$9))*(DOCUMENTOS!$L$5:$L$10004="Validado"))</f>
        <v/>
      </c>
    </row>
    <row r="21">
      <c r="A21" s="6" t="inlineStr">
        <is>
          <t>Documentos Pendientes</t>
        </is>
      </c>
      <c r="B21" s="8">
        <f>SUMPRODUCT((($B$5="")+(YEAR(DOCUMENTOS!$B$5:$B$10004)=$B$5))*(($B$6="")+(MONTH(DOCUMENTOS!$B$5:$B$10004)=$B$6))*(($B$9="")+(DOCUMENTOS!$E$5:$E$10004=$B$9))*(((DOCUMENTOS!$L$5:$L$10004="Pendiente")+(DOCUMENTOS!$L$5:$L$10004="Revision Manual"))))</f>
        <v/>
      </c>
    </row>
    <row r="22">
      <c r="A22" s="6" t="inlineStr">
        <is>
          <t>Documentos con Error</t>
        </is>
      </c>
      <c r="B22" s="8">
        <f>SUMPRODUCT((($B$5="")+(YEAR(DOCUMENTOS!$B$5:$B$10004)=$B$5))*(($B$6="")+(MONTH(DOCUMENTOS!$B$5:$B$10004)=$B$6))*(($B$9="")+(DOCUMENTOS!$E$5:$E$10004=$B$9))*(((DOCUMENTOS!$L$5:$L$10004="Error")+(DOCUMENTOS!$L$5:$L$10004="Duplicado"))))</f>
        <v/>
      </c>
    </row>
    <row r="24">
      <c r="A24" s="36" t="inlineStr">
        <is>
          <t>Tipo/Categoria/Cuenta filtran movimientos; los conteos de documentos usan Año, Mes y Tercero.</t>
        </is>
      </c>
    </row>
    <row r="25">
      <c r="A25" s="36" t="inlineStr">
        <is>
          <t>Para Anio/Mes vacios se muestran todos los periodos.</t>
        </is>
      </c>
    </row>
  </sheetData>
  <dataValidations count="7">
    <dataValidation sqref="B5" showDropDown="0" showInputMessage="0" showErrorMessage="0" allowBlank="1" type="whole">
      <formula1>1900</formula1>
      <formula2>9999</formula2>
    </dataValidation>
    <dataValidation sqref="B6" showDropDown="0" showInputMessage="0" showErrorMessage="0" allowBlank="1" type="whole">
      <formula1>1</formula1>
      <formula2>12</formula2>
    </dataValidation>
    <dataValidation sqref="B7" showDropDown="0" showInputMessage="0" showErrorMessage="0" allowBlank="1" type="list">
      <formula1>Lst_TipoMovimiento</formula1>
    </dataValidation>
    <dataValidation sqref="B8" showDropDown="0" showInputMessage="0" showErrorMessage="0" allowBlank="1" type="list">
      <formula1>Lst_Categoria</formula1>
    </dataValidation>
    <dataValidation sqref="B9" showDropDown="0" showInputMessage="0" showErrorMessage="0" allowBlank="1" type="list">
      <formula1>Lst_TerceroNombre</formula1>
    </dataValidation>
    <dataValidation sqref="B10" showDropDown="0" showInputMessage="0" showErrorMessage="0" allowBlank="1" type="list">
      <formula1>Lst_Cuenta</formula1>
    </dataValidation>
    <dataValidation sqref="B11" showDropDown="0" showInputMessage="0" showErrorMessage="0" allowBlank="1" type="list">
      <formula1>Lst_EstadoMovimiento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5A5A5A"/>
    <outlinePr summaryBelow="1" summaryRight="1"/>
    <pageSetUpPr/>
  </sheetPr>
  <dimension ref="A1:C40"/>
  <sheetViews>
    <sheetView workbookViewId="0">
      <selection activeCell="A1" sqref="A1"/>
    </sheetView>
  </sheetViews>
  <sheetFormatPr baseColWidth="10" defaultColWidth="9.140625" defaultRowHeight="15"/>
  <cols>
    <col width="34" customWidth="1" style="33" min="1" max="1"/>
    <col width="70" customWidth="1" style="33" min="2" max="2"/>
  </cols>
  <sheetData>
    <row r="1" ht="21" customHeight="1" s="33">
      <c r="A1" s="1" t="inlineStr">
        <is>
          <t>SISTEMA FINANCIERO EMPRESARIAL</t>
        </is>
      </c>
    </row>
    <row r="2">
      <c r="A2" s="2" t="inlineStr">
        <is>
          <t>Plataforma configurable de gestion financiera - Colombia</t>
        </is>
      </c>
    </row>
    <row r="4">
      <c r="A4" s="10" t="inlineStr">
        <is>
          <t>Navegacion rapida (Ctrl+clic en Excel Desktop, o clic simple segun version):</t>
        </is>
      </c>
    </row>
    <row r="6" ht="21.95" customHeight="1" s="33">
      <c r="A6" s="11" t="inlineStr">
        <is>
          <t>INICIO</t>
        </is>
      </c>
    </row>
    <row r="7" ht="21.95" customHeight="1" s="33">
      <c r="A7" s="11" t="inlineStr">
        <is>
          <t>CONFIGURAR EMPRESA</t>
        </is>
      </c>
    </row>
    <row r="8" ht="21.95" customHeight="1" s="33">
      <c r="A8" s="11" t="inlineStr">
        <is>
          <t>PARAMETROS</t>
        </is>
      </c>
    </row>
    <row r="9" ht="21.95" customHeight="1" s="33">
      <c r="A9" s="11" t="inlineStr">
        <is>
          <t>CATEGORIAS</t>
        </is>
      </c>
    </row>
    <row r="10" ht="21.95" customHeight="1" s="33">
      <c r="A10" s="11" t="inlineStr">
        <is>
          <t>IMPUESTOS</t>
        </is>
      </c>
    </row>
    <row r="11" ht="21.95" customHeight="1" s="33">
      <c r="A11" s="11" t="inlineStr">
        <is>
          <t>CUENTAS</t>
        </is>
      </c>
    </row>
    <row r="12" ht="21.95" customHeight="1" s="33">
      <c r="A12" s="11" t="inlineStr">
        <is>
          <t>TIPOS DE DOCUMENTO</t>
        </is>
      </c>
    </row>
    <row r="13" ht="21.95" customHeight="1" s="33">
      <c r="A13" s="11" t="inlineStr">
        <is>
          <t>TERCEROS</t>
        </is>
      </c>
    </row>
    <row r="14" ht="21.95" customHeight="1" s="33">
      <c r="A14" s="11" t="inlineStr">
        <is>
          <t>ASISTENTE DE CLASIFICACION</t>
        </is>
      </c>
    </row>
    <row r="15" ht="21.95" customHeight="1" s="33">
      <c r="A15" s="11" t="inlineStr">
        <is>
          <t>REGLAS DEL ASISTENTE</t>
        </is>
      </c>
    </row>
    <row r="16" ht="21.95" customHeight="1" s="33">
      <c r="A16" s="11" t="inlineStr">
        <is>
          <t>DOCUMENTOS</t>
        </is>
      </c>
    </row>
    <row r="17" ht="21.95" customHeight="1" s="33">
      <c r="A17" s="11" t="inlineStr">
        <is>
          <t>REGISTRAR MOVIMIENTO</t>
        </is>
      </c>
    </row>
    <row r="18" ht="21.95" customHeight="1" s="33">
      <c r="A18" s="11" t="inlineStr">
        <is>
          <t>PAGOS</t>
        </is>
      </c>
    </row>
    <row r="19" ht="21.95" customHeight="1" s="33">
      <c r="A19" s="11" t="inlineStr">
        <is>
          <t>COBROS</t>
        </is>
      </c>
    </row>
    <row r="20" ht="21.95" customHeight="1" s="33">
      <c r="A20" s="11" t="inlineStr">
        <is>
          <t>DASHBOARD</t>
        </is>
      </c>
    </row>
    <row r="21" ht="21.95" customHeight="1" s="33">
      <c r="A21" s="11" t="inlineStr">
        <is>
          <t>REPORTE MENSUAL</t>
        </is>
      </c>
    </row>
    <row r="22" ht="21.95" customHeight="1" s="33">
      <c r="A22" s="11" t="inlineStr">
        <is>
          <t>REPORTE ANUAL</t>
        </is>
      </c>
    </row>
    <row r="23" ht="21.95" customHeight="1" s="33">
      <c r="A23" s="11" t="inlineStr">
        <is>
          <t>LOG DE AUDITORIA</t>
        </is>
      </c>
    </row>
    <row r="26">
      <c r="A26" s="3" t="inlineStr">
        <is>
          <t>MACROS (Fases 4 y 5 - importar los .bas de la carpeta vba/)</t>
        </is>
      </c>
    </row>
    <row r="27">
      <c r="A27" s="36" t="inlineStr">
        <is>
          <t>Ejecutar con Alt+F8, o asignar a un boton: Insertar &gt; Formularios &gt; Boton, dibujar, elegir el macro y pulsar Aceptar.</t>
        </is>
      </c>
    </row>
    <row r="29">
      <c r="A29" s="6" t="inlineStr">
        <is>
          <t>Macro</t>
        </is>
      </c>
      <c r="B29" s="6" t="inlineStr">
        <is>
          <t>Que hace</t>
        </is>
      </c>
    </row>
    <row r="30">
      <c r="A30" s="12" t="inlineStr">
        <is>
          <t>Menu_ImportarDocumento</t>
        </is>
      </c>
      <c r="B30" s="13" t="inlineStr">
        <is>
          <t>Copia el soporte y extrae campos estructurados si es XML UBL</t>
        </is>
      </c>
    </row>
    <row r="31">
      <c r="A31" s="12" t="inlineStr">
        <is>
          <t>Menu_ExtraerXMLDocumentoActivo</t>
        </is>
      </c>
      <c r="B31" s="13" t="inlineStr">
        <is>
          <t>Relee el XML UBL de la fila DOCUMENTOS seleccionada</t>
        </is>
      </c>
    </row>
    <row r="32">
      <c r="A32" s="12" t="inlineStr">
        <is>
          <t>Menu_ConfirmarRevisionXMLDocumentoActivo</t>
        </is>
      </c>
      <c r="B32" s="13" t="inlineStr">
        <is>
          <t>Confirma la revisión humana del XML seleccionado</t>
        </is>
      </c>
    </row>
    <row r="33">
      <c r="A33" s="12" t="inlineStr">
        <is>
          <t>Menu_RenombrarArchivoDocumentoActivo</t>
        </is>
      </c>
      <c r="B33" s="13" t="inlineStr">
        <is>
          <t>Renombra en disco el archivo de la fila DOCUMENTOS donde este el cursor</t>
        </is>
      </c>
    </row>
    <row r="34">
      <c r="A34" s="12" t="inlineStr">
        <is>
          <t>Menu_NuevoMovimiento</t>
        </is>
      </c>
      <c r="B34" s="13" t="inlineStr">
        <is>
          <t>Inserta una fila nueva en MOVIMIENTOS con ID y fecha automaticos</t>
        </is>
      </c>
    </row>
    <row r="35">
      <c r="A35" s="12" t="inlineStr">
        <is>
          <t>Menu_NuevoDocumento</t>
        </is>
      </c>
      <c r="B35" s="13" t="inlineStr">
        <is>
          <t>Inserta una fila nueva en DOCUMENTOS con ID automatico</t>
        </is>
      </c>
    </row>
    <row r="36">
      <c r="A36" s="12" t="inlineStr">
        <is>
          <t>Menu_NuevoTercero</t>
        </is>
      </c>
      <c r="B36" s="13" t="inlineStr">
        <is>
          <t>Inserta una fila nueva en TERCEROS con ID automatico</t>
        </is>
      </c>
    </row>
    <row r="37">
      <c r="A37" s="12" t="inlineStr">
        <is>
          <t>Menu_NuevoPago</t>
        </is>
      </c>
      <c r="B37" s="13" t="inlineStr">
        <is>
          <t>Inserta una fila nueva en PAGOS con ID automatico</t>
        </is>
      </c>
    </row>
    <row r="38">
      <c r="A38" s="12" t="inlineStr">
        <is>
          <t>Menu_NuevoCobro</t>
        </is>
      </c>
      <c r="B38" s="13" t="inlineStr">
        <is>
          <t>Inserta una fila nueva en COBROS con ID automatico</t>
        </is>
      </c>
    </row>
    <row r="39">
      <c r="A39" s="12" t="inlineStr">
        <is>
          <t>Menu_ValidarTodo</t>
        </is>
      </c>
      <c r="B39" s="13" t="inlineStr">
        <is>
          <t>Valida MOVIMIENTOS, DOCUMENTOS (incl. duplicados) y TERCEROS (NIT duplicado)</t>
        </is>
      </c>
    </row>
    <row r="40">
      <c r="A40" s="12" t="inlineStr">
        <is>
          <t>Menu_ActualizarReportes</t>
        </is>
      </c>
      <c r="B40" s="13" t="inlineStr">
        <is>
          <t>Recalcula el libro y repuebla CXC/CXP desde MOVIMIENTOS pendientes</t>
        </is>
      </c>
    </row>
  </sheetData>
  <mergeCells count="1">
    <mergeCell ref="A27:C27"/>
  </mergeCells>
  <hyperlinks>
    <hyperlink ref="A6" location="INICIO!A1" display="INICIO"/>
    <hyperlink ref="A7" location="EMPRESA!A1" display="CONFIGURAR EMPRESA"/>
    <hyperlink ref="A8" location="PARAMETROS!A1" display="PARAMETROS"/>
    <hyperlink ref="A9" location="CATEGORIAS!A1" display="CATEGORIAS"/>
    <hyperlink ref="A10" location="IMPUESTOS!A1" display="IMPUESTOS"/>
    <hyperlink ref="A11" location="CUENTAS!A1" display="CUENTAS"/>
    <hyperlink ref="A12" location="TIPOS_DOCUMENTOS!A1" display="TIPOS DE DOCUMENTO"/>
    <hyperlink ref="A13" location="TERCEROS!A1" display="TERCEROS"/>
    <hyperlink ref="A14" location="ASISTENTE!A1" display="ASISTENTE DE CLASIFICACION"/>
    <hyperlink ref="A15" location="REGLAS_IA!A1" display="REGLAS DEL ASISTENTE"/>
    <hyperlink ref="A16" location="DOCUMENTOS!A1" display="DOCUMENTOS"/>
    <hyperlink ref="A17" location="MOVIMIENTOS!A1" display="REGISTRAR MOVIMIENTO"/>
    <hyperlink ref="A18" location="PAGOS!A1" display="PAGOS"/>
    <hyperlink ref="A19" location="COBROS!A1" display="COBROS"/>
    <hyperlink ref="A20" location="DASHBOARD!A1" display="DASHBOARD"/>
    <hyperlink ref="A21" location="REPORTE_MENSUAL!A1" display="REPORTE MENSUAL"/>
    <hyperlink ref="A22" location="REPORTE_ANUAL!A1" display="REPORTE ANUAL"/>
    <hyperlink ref="A23" location="LOG!A1" display="LOG DE AUDITORIA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45" customWidth="1" style="33" min="2" max="2"/>
  </cols>
  <sheetData>
    <row r="1" ht="21" customHeight="1" s="33">
      <c r="A1" s="1" t="inlineStr">
        <is>
          <t>EMPRESA</t>
        </is>
      </c>
    </row>
    <row r="2">
      <c r="A2" s="2" t="inlineStr">
        <is>
          <t>Datos de la empresa - editar libremente, no usar en formulas de otras hojas</t>
        </is>
      </c>
    </row>
    <row r="4" ht="27.95" customHeight="1" s="33">
      <c r="A4" s="14" t="inlineStr">
        <is>
          <t>Campo</t>
        </is>
      </c>
      <c r="B4" s="14" t="inlineStr">
        <is>
          <t>Valor</t>
        </is>
      </c>
    </row>
    <row r="5">
      <c r="A5" s="6" t="inlineStr">
        <is>
          <t>NombreEmpresa</t>
        </is>
      </c>
      <c r="B5" t="inlineStr">
        <is>
          <t>Comercial Andina Demo S.A.S.</t>
        </is>
      </c>
    </row>
    <row r="6">
      <c r="A6" s="6" t="inlineStr">
        <is>
          <t>NIT</t>
        </is>
      </c>
      <c r="B6" t="inlineStr">
        <is>
          <t>900000000-1 (FICTICIO)</t>
        </is>
      </c>
    </row>
    <row r="7">
      <c r="A7" s="6" t="inlineStr">
        <is>
          <t>RegimenTributario</t>
        </is>
      </c>
      <c r="B7" t="inlineStr">
        <is>
          <t>DEMO — validar y configurar para cada empresa</t>
        </is>
      </c>
    </row>
    <row r="8">
      <c r="A8" s="6" t="inlineStr">
        <is>
          <t>ActividadEconomica</t>
        </is>
      </c>
      <c r="B8" t="inlineStr">
        <is>
          <t>Comercio y servicios (ejemplo)</t>
        </is>
      </c>
    </row>
    <row r="9">
      <c r="A9" s="6" t="inlineStr">
        <is>
          <t>ResponsableIVA</t>
        </is>
      </c>
      <c r="B9" t="inlineStr">
        <is>
          <t>Configurar</t>
        </is>
      </c>
    </row>
    <row r="10">
      <c r="A10" s="6" t="inlineStr">
        <is>
          <t>DireccionPrincipal</t>
        </is>
      </c>
    </row>
    <row r="11">
      <c r="A11" s="6" t="inlineStr">
        <is>
          <t>Ciudad</t>
        </is>
      </c>
    </row>
    <row r="12">
      <c r="A12" s="6" t="inlineStr">
        <is>
          <t>Telefono</t>
        </is>
      </c>
    </row>
    <row r="13">
      <c r="A13" s="6" t="inlineStr">
        <is>
          <t>Email</t>
        </is>
      </c>
    </row>
    <row r="14">
      <c r="A14" s="6" t="inlineStr">
        <is>
          <t>MonedaPrincipal</t>
        </is>
      </c>
      <c r="B14" t="inlineStr">
        <is>
          <t>COP</t>
        </is>
      </c>
    </row>
    <row r="15">
      <c r="A15" s="6" t="inlineStr">
        <is>
          <t>AnioFiscalInicioMes</t>
        </is>
      </c>
      <c r="B15" t="inlineStr">
        <is>
          <t>Enero</t>
        </is>
      </c>
    </row>
    <row r="16">
      <c r="A16" s="6" t="inlineStr">
        <is>
          <t>RutaRaizArchivos</t>
        </is>
      </c>
    </row>
    <row r="17">
      <c r="A17" s="6" t="inlineStr">
        <is>
          <t>LogoRuta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15" customWidth="1" style="33" min="2" max="2"/>
    <col width="12" customWidth="1" style="33" min="3" max="4"/>
    <col width="17" customWidth="1" style="33" min="5" max="5"/>
  </cols>
  <sheetData>
    <row r="1" ht="21" customHeight="1" s="33">
      <c r="A1" s="1" t="inlineStr">
        <is>
          <t>PARAMETROS</t>
        </is>
      </c>
    </row>
    <row r="2">
      <c r="A2" s="2" t="inlineStr">
        <is>
          <t>Parametros generales del sistema - configurables sin tocar formulas</t>
        </is>
      </c>
    </row>
    <row r="4" ht="27.95" customHeight="1" s="33">
      <c r="A4" s="14" t="inlineStr">
        <is>
          <t>Codigo</t>
        </is>
      </c>
      <c r="B4" s="14" t="inlineStr">
        <is>
          <t>Parametro</t>
        </is>
      </c>
      <c r="C4" s="14" t="inlineStr">
        <is>
          <t>Valor</t>
        </is>
      </c>
      <c r="D4" s="14" t="inlineStr">
        <is>
          <t>Tipo</t>
        </is>
      </c>
      <c r="E4" s="14" t="inlineStr">
        <is>
          <t>Descripcion</t>
        </is>
      </c>
    </row>
    <row r="5">
      <c r="A5" t="inlineStr">
        <is>
          <t>PAR-001</t>
        </is>
      </c>
      <c r="B5" t="inlineStr">
        <is>
          <t>DECIMALES_MONEDA</t>
        </is>
      </c>
      <c r="C5" t="n">
        <v>0</v>
      </c>
      <c r="D5" t="inlineStr">
        <is>
          <t>Numero</t>
        </is>
      </c>
      <c r="E5" t="inlineStr">
        <is>
          <t>Decimales para valores monetarios</t>
        </is>
      </c>
    </row>
    <row r="6">
      <c r="A6" t="inlineStr">
        <is>
          <t>PAR-002</t>
        </is>
      </c>
      <c r="B6" t="inlineStr">
        <is>
          <t>FORMATO_FECHA</t>
        </is>
      </c>
      <c r="C6" t="inlineStr">
        <is>
          <t>dd/mm/aaaa</t>
        </is>
      </c>
      <c r="D6" t="inlineStr">
        <is>
          <t>Texto</t>
        </is>
      </c>
      <c r="E6" t="inlineStr">
        <is>
          <t>Formato de fecha estandar</t>
        </is>
      </c>
    </row>
    <row r="7">
      <c r="A7" t="inlineStr">
        <is>
          <t>PAR-003</t>
        </is>
      </c>
      <c r="B7" t="inlineStr">
        <is>
          <t>PREFIJO_MOVIMIENTO</t>
        </is>
      </c>
      <c r="C7" t="inlineStr">
        <is>
          <t>MOV-</t>
        </is>
      </c>
      <c r="D7" t="inlineStr">
        <is>
          <t>Texto</t>
        </is>
      </c>
      <c r="E7" t="inlineStr">
        <is>
          <t>Prefijo para ID de movimientos</t>
        </is>
      </c>
    </row>
    <row r="8">
      <c r="A8" t="inlineStr">
        <is>
          <t>PAR-004</t>
        </is>
      </c>
      <c r="B8" t="inlineStr">
        <is>
          <t>PREFIJO_DOCUMENTO</t>
        </is>
      </c>
      <c r="C8" t="inlineStr">
        <is>
          <t>DOC-</t>
        </is>
      </c>
      <c r="D8" t="inlineStr">
        <is>
          <t>Texto</t>
        </is>
      </c>
      <c r="E8" t="inlineStr">
        <is>
          <t>Prefijo para ID de documentos</t>
        </is>
      </c>
    </row>
    <row r="9">
      <c r="A9" t="inlineStr">
        <is>
          <t>PAR-005</t>
        </is>
      </c>
      <c r="B9" t="inlineStr">
        <is>
          <t>UMBRAL_DIAS_DUPLICADO</t>
        </is>
      </c>
      <c r="C9" t="n">
        <v>5</v>
      </c>
      <c r="D9" t="inlineStr">
        <is>
          <t>Numero</t>
        </is>
      </c>
      <c r="E9" t="inlineStr">
        <is>
          <t>Dias de tolerancia para sugerir posible duplicado</t>
        </is>
      </c>
    </row>
    <row r="10">
      <c r="A10" t="inlineStr">
        <is>
          <t>PAR-006</t>
        </is>
      </c>
      <c r="B10" t="inlineStr">
        <is>
          <t>RUTA_DOCUMENTOS</t>
        </is>
      </c>
      <c r="C10" t="inlineStr">
        <is>
          <t>Documentos</t>
        </is>
      </c>
      <c r="D10" t="inlineStr">
        <is>
          <t>Texto</t>
        </is>
      </c>
      <c r="E10" t="inlineStr">
        <is>
          <t>Ruta relativa a la carpeta del libro o ruta absoluta de soportes</t>
        </is>
      </c>
    </row>
    <row r="11">
      <c r="A11" t="inlineStr">
        <is>
          <t>PAR-007</t>
        </is>
      </c>
      <c r="B11" t="inlineStr">
        <is>
          <t>MODO_COMPATIBILIDAD</t>
        </is>
      </c>
      <c r="C11" t="inlineStr">
        <is>
          <t>COMPATIBLE</t>
        </is>
      </c>
      <c r="D11" t="inlineStr">
        <is>
          <t>Texto</t>
        </is>
      </c>
      <c r="E11" t="inlineStr">
        <is>
          <t>COMPATIBLE (Excel 2019) o MODERNO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2"/>
    <col width="15" customWidth="1" style="33" min="3" max="3"/>
    <col width="18" customWidth="1" style="33" min="4" max="4"/>
    <col width="12" customWidth="1" style="33" min="5" max="5"/>
    <col width="17" customWidth="1" style="33" min="6" max="6"/>
  </cols>
  <sheetData>
    <row r="1" ht="21" customHeight="1" s="33">
      <c r="A1" s="1" t="inlineStr">
        <is>
          <t>CATEGORIAS</t>
        </is>
      </c>
    </row>
    <row r="2">
      <c r="A2" s="2" t="inlineStr">
        <is>
          <t>Clasificacion financiera - editable, no ligada a formulas ni VBA</t>
        </is>
      </c>
    </row>
    <row r="4" ht="27.95" customHeight="1" s="33">
      <c r="A4" s="14" t="inlineStr">
        <is>
          <t>Codigo</t>
        </is>
      </c>
      <c r="B4" s="14" t="inlineStr">
        <is>
          <t>Tipo</t>
        </is>
      </c>
      <c r="C4" s="14" t="inlineStr">
        <is>
          <t>Categoria</t>
        </is>
      </c>
      <c r="D4" s="14" t="inlineStr">
        <is>
          <t>Subcategoria</t>
        </is>
      </c>
      <c r="E4" s="14" t="inlineStr">
        <is>
          <t>Activa</t>
        </is>
      </c>
      <c r="F4" s="14" t="inlineStr">
        <is>
          <t>Descripcion</t>
        </is>
      </c>
    </row>
    <row r="5">
      <c r="A5" t="inlineStr">
        <is>
          <t>ING-001</t>
        </is>
      </c>
      <c r="B5" t="inlineStr">
        <is>
          <t>Ingreso</t>
        </is>
      </c>
      <c r="C5" t="inlineStr">
        <is>
          <t>Ventas</t>
        </is>
      </c>
      <c r="D5" t="inlineStr">
        <is>
          <t>Productos</t>
        </is>
      </c>
      <c r="E5" t="inlineStr">
        <is>
          <t>Si</t>
        </is>
      </c>
    </row>
    <row r="6">
      <c r="A6" t="inlineStr">
        <is>
          <t>ING-002</t>
        </is>
      </c>
      <c r="B6" t="inlineStr">
        <is>
          <t>Ingreso</t>
        </is>
      </c>
      <c r="C6" t="inlineStr">
        <is>
          <t>Ventas</t>
        </is>
      </c>
      <c r="D6" t="inlineStr">
        <is>
          <t>Servicios</t>
        </is>
      </c>
      <c r="E6" t="inlineStr">
        <is>
          <t>Si</t>
        </is>
      </c>
    </row>
    <row r="7">
      <c r="A7" t="inlineStr">
        <is>
          <t>ING-003</t>
        </is>
      </c>
      <c r="B7" t="inlineStr">
        <is>
          <t>Ingreso</t>
        </is>
      </c>
      <c r="C7" t="inlineStr">
        <is>
          <t>Financiero</t>
        </is>
      </c>
      <c r="D7" t="inlineStr">
        <is>
          <t>Rendimientos</t>
        </is>
      </c>
      <c r="E7" t="inlineStr">
        <is>
          <t>Si</t>
        </is>
      </c>
    </row>
    <row r="8">
      <c r="A8" t="inlineStr">
        <is>
          <t>GAS-001</t>
        </is>
      </c>
      <c r="B8" t="inlineStr">
        <is>
          <t>Gasto</t>
        </is>
      </c>
      <c r="C8" t="inlineStr">
        <is>
          <t>Operacion</t>
        </is>
      </c>
      <c r="D8" t="inlineStr">
        <is>
          <t>Servicios publicos</t>
        </is>
      </c>
      <c r="E8" t="inlineStr">
        <is>
          <t>Si</t>
        </is>
      </c>
    </row>
    <row r="9">
      <c r="A9" t="inlineStr">
        <is>
          <t>GAS-002</t>
        </is>
      </c>
      <c r="B9" t="inlineStr">
        <is>
          <t>Gasto</t>
        </is>
      </c>
      <c r="C9" t="inlineStr">
        <is>
          <t>Operacion</t>
        </is>
      </c>
      <c r="D9" t="inlineStr">
        <is>
          <t>Suministros</t>
        </is>
      </c>
      <c r="E9" t="inlineStr">
        <is>
          <t>Si</t>
        </is>
      </c>
    </row>
    <row r="10">
      <c r="A10" t="inlineStr">
        <is>
          <t>GAS-003</t>
        </is>
      </c>
      <c r="B10" t="inlineStr">
        <is>
          <t>Gasto</t>
        </is>
      </c>
      <c r="C10" t="inlineStr">
        <is>
          <t>Administracion</t>
        </is>
      </c>
      <c r="D10" t="inlineStr">
        <is>
          <t>Software</t>
        </is>
      </c>
      <c r="E10" t="inlineStr">
        <is>
          <t>Si</t>
        </is>
      </c>
    </row>
    <row r="11">
      <c r="A11" t="inlineStr">
        <is>
          <t>GAS-004</t>
        </is>
      </c>
      <c r="B11" t="inlineStr">
        <is>
          <t>Gasto</t>
        </is>
      </c>
      <c r="C11" t="inlineStr">
        <is>
          <t>Administracion</t>
        </is>
      </c>
      <c r="D11" t="inlineStr">
        <is>
          <t>Arriendo</t>
        </is>
      </c>
      <c r="E11" t="inlineStr">
        <is>
          <t>Si</t>
        </is>
      </c>
    </row>
    <row r="12">
      <c r="A12" t="inlineStr">
        <is>
          <t>GAS-005</t>
        </is>
      </c>
      <c r="B12" t="inlineStr">
        <is>
          <t>Gasto</t>
        </is>
      </c>
      <c r="C12" t="inlineStr">
        <is>
          <t>Nomina</t>
        </is>
      </c>
      <c r="D12" t="inlineStr">
        <is>
          <t>Salarios</t>
        </is>
      </c>
      <c r="E12" t="inlineStr">
        <is>
          <t>Si</t>
        </is>
      </c>
    </row>
    <row r="13">
      <c r="A13" t="inlineStr">
        <is>
          <t>COM-001</t>
        </is>
      </c>
      <c r="B13" t="inlineStr">
        <is>
          <t>Compra</t>
        </is>
      </c>
      <c r="C13" t="inlineStr">
        <is>
          <t>Inventario</t>
        </is>
      </c>
      <c r="D13" t="inlineStr">
        <is>
          <t>Mercancia</t>
        </is>
      </c>
      <c r="E13" t="inlineStr">
        <is>
          <t>Si</t>
        </is>
      </c>
    </row>
    <row r="14">
      <c r="A14" t="inlineStr">
        <is>
          <t>COM-002</t>
        </is>
      </c>
      <c r="B14" t="inlineStr">
        <is>
          <t>Compra</t>
        </is>
      </c>
      <c r="C14" t="inlineStr">
        <is>
          <t>Activos</t>
        </is>
      </c>
      <c r="D14" t="inlineStr">
        <is>
          <t>Tecnologia</t>
        </is>
      </c>
      <c r="E14" t="inlineStr">
        <is>
          <t>Si</t>
        </is>
      </c>
    </row>
    <row r="15">
      <c r="A15" t="inlineStr">
        <is>
          <t>VEN-001</t>
        </is>
      </c>
      <c r="B15" t="inlineStr">
        <is>
          <t>Venta</t>
        </is>
      </c>
      <c r="C15" t="inlineStr">
        <is>
          <t>Productos</t>
        </is>
      </c>
      <c r="D15" t="inlineStr">
        <is>
          <t>General</t>
        </is>
      </c>
      <c r="E15" t="inlineStr">
        <is>
          <t>Si</t>
        </is>
      </c>
    </row>
    <row r="16">
      <c r="A16" t="inlineStr">
        <is>
          <t>OTR-001</t>
        </is>
      </c>
      <c r="B16" t="inlineStr">
        <is>
          <t>Otro</t>
        </is>
      </c>
      <c r="C16" t="inlineStr">
        <is>
          <t>Sin clasificar</t>
        </is>
      </c>
      <c r="D16" t="inlineStr">
        <is>
          <t>Sin clasificar</t>
        </is>
      </c>
      <c r="E16" t="inlineStr">
        <is>
          <t>Si</t>
        </is>
      </c>
      <c r="F16" t="inlineStr">
        <is>
          <t>Usar temporalmente y reclasificar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1F4E78"/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14" customWidth="1" style="33" min="2" max="2"/>
    <col width="16" customWidth="1" style="33" min="3" max="3"/>
    <col width="12" customWidth="1" style="33" min="4" max="5"/>
    <col width="20" customWidth="1" style="33" min="6" max="6"/>
    <col width="12" customWidth="1" style="33" min="7" max="7"/>
    <col width="19" customWidth="1" style="33" min="8" max="8"/>
  </cols>
  <sheetData>
    <row r="1" ht="21" customHeight="1" s="33">
      <c r="A1" s="1" t="inlineStr">
        <is>
          <t>IMPUESTOS</t>
        </is>
      </c>
    </row>
    <row r="2">
      <c r="A2" s="2" t="inlineStr">
        <is>
          <t>Impuestos y retenciones - VERIFICAR PORCENTAJES VIGENTES ANTES DE USAR</t>
        </is>
      </c>
    </row>
    <row r="4" ht="27.95" customHeight="1" s="33">
      <c r="A4" s="14" t="inlineStr">
        <is>
          <t>Codigo</t>
        </is>
      </c>
      <c r="B4" s="14" t="inlineStr">
        <is>
          <t>Impuesto</t>
        </is>
      </c>
      <c r="C4" s="14" t="inlineStr">
        <is>
          <t>Porcentaje</t>
        </is>
      </c>
      <c r="D4" s="14" t="inlineStr">
        <is>
          <t>Tipo</t>
        </is>
      </c>
      <c r="E4" s="14" t="inlineStr">
        <is>
          <t>Base</t>
        </is>
      </c>
      <c r="F4" s="14" t="inlineStr">
        <is>
          <t>CuentaAsociada</t>
        </is>
      </c>
      <c r="G4" s="14" t="inlineStr">
        <is>
          <t>Activo</t>
        </is>
      </c>
      <c r="H4" s="14" t="inlineStr">
        <is>
          <t>Observaciones</t>
        </is>
      </c>
    </row>
    <row r="5">
      <c r="A5" t="inlineStr">
        <is>
          <t>IVA-001</t>
        </is>
      </c>
      <c r="B5" t="inlineStr">
        <is>
          <t>IVA general</t>
        </is>
      </c>
      <c r="C5" s="15" t="n">
        <v>0</v>
      </c>
      <c r="D5" t="inlineStr">
        <is>
          <t>Impuesto</t>
        </is>
      </c>
      <c r="E5" t="inlineStr">
        <is>
          <t>Subtotal</t>
        </is>
      </c>
      <c r="G5" t="inlineStr">
        <is>
          <t>Si</t>
        </is>
      </c>
      <c r="H5" t="inlineStr">
        <is>
          <t>Configurar segun normativa DIAN/municipal vigente</t>
        </is>
      </c>
    </row>
    <row r="6">
      <c r="A6" t="inlineStr">
        <is>
          <t>RET-001</t>
        </is>
      </c>
      <c r="B6" t="inlineStr">
        <is>
          <t>Retencion en la fuente - Servicios</t>
        </is>
      </c>
      <c r="C6" s="15" t="n">
        <v>0</v>
      </c>
      <c r="D6" t="inlineStr">
        <is>
          <t>Retencion</t>
        </is>
      </c>
      <c r="E6" t="inlineStr">
        <is>
          <t>Subtotal</t>
        </is>
      </c>
      <c r="G6" t="inlineStr">
        <is>
          <t>Si</t>
        </is>
      </c>
      <c r="H6" t="inlineStr">
        <is>
          <t>Configurar segun normativa DIAN/municipal vigente</t>
        </is>
      </c>
    </row>
    <row r="7">
      <c r="A7" t="inlineStr">
        <is>
          <t>RET-002</t>
        </is>
      </c>
      <c r="B7" t="inlineStr">
        <is>
          <t>Retencion en la fuente - Compras</t>
        </is>
      </c>
      <c r="C7" s="15" t="n">
        <v>0</v>
      </c>
      <c r="D7" t="inlineStr">
        <is>
          <t>Retencion</t>
        </is>
      </c>
      <c r="E7" t="inlineStr">
        <is>
          <t>Subtotal</t>
        </is>
      </c>
      <c r="G7" t="inlineStr">
        <is>
          <t>Si</t>
        </is>
      </c>
      <c r="H7" t="inlineStr">
        <is>
          <t>Configurar segun normativa DIAN/municipal vigente</t>
        </is>
      </c>
    </row>
    <row r="8">
      <c r="A8" t="inlineStr">
        <is>
          <t>RET-003</t>
        </is>
      </c>
      <c r="B8" t="inlineStr">
        <is>
          <t>ReteICA</t>
        </is>
      </c>
      <c r="C8" s="15" t="n">
        <v>0</v>
      </c>
      <c r="D8" t="inlineStr">
        <is>
          <t>Retencion</t>
        </is>
      </c>
      <c r="E8" t="inlineStr">
        <is>
          <t>Subtotal</t>
        </is>
      </c>
      <c r="G8" t="inlineStr">
        <is>
          <t>Si</t>
        </is>
      </c>
      <c r="H8" t="inlineStr">
        <is>
          <t>Configurar segun normativa DIAN/municipal vigente</t>
        </is>
      </c>
    </row>
    <row r="9">
      <c r="A9" t="inlineStr">
        <is>
          <t>IC-001</t>
        </is>
      </c>
      <c r="B9" t="inlineStr">
        <is>
          <t>Impuesto de Industria y Comercio (ICA)</t>
        </is>
      </c>
      <c r="C9" s="15" t="n">
        <v>0</v>
      </c>
      <c r="D9" t="inlineStr">
        <is>
          <t>Impuesto</t>
        </is>
      </c>
      <c r="E9" t="inlineStr">
        <is>
          <t>Ingresos</t>
        </is>
      </c>
      <c r="G9" t="inlineStr">
        <is>
          <t>Si</t>
        </is>
      </c>
      <c r="H9" t="inlineStr">
        <is>
          <t>Configurar segun normativa DIAN/municipal vigente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1F4E78"/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19" customWidth="1" style="33" min="2" max="2"/>
    <col width="13" customWidth="1" style="33" min="3" max="3"/>
    <col width="18" customWidth="1" style="33" min="4" max="4"/>
    <col width="12" customWidth="1" style="33" min="5" max="5"/>
    <col width="17" customWidth="1" style="33" min="6" max="6"/>
  </cols>
  <sheetData>
    <row r="1" ht="21" customHeight="1" s="33">
      <c r="A1" s="1" t="inlineStr">
        <is>
          <t>TIPOS_DOCUMENTOS</t>
        </is>
      </c>
    </row>
    <row r="2">
      <c r="A2" s="2" t="inlineStr">
        <is>
          <t>Tipos de documento soportados - ampliable</t>
        </is>
      </c>
    </row>
    <row r="4" ht="27.95" customHeight="1" s="33">
      <c r="A4" s="14" t="inlineStr">
        <is>
          <t>Codigo</t>
        </is>
      </c>
      <c r="B4" s="14" t="inlineStr">
        <is>
          <t>TipoDocumento</t>
        </is>
      </c>
      <c r="C4" s="14" t="inlineStr">
        <is>
          <t>Prefijo</t>
        </is>
      </c>
      <c r="D4" s="14" t="inlineStr">
        <is>
          <t>RequiereCUFE</t>
        </is>
      </c>
      <c r="E4" s="14" t="inlineStr">
        <is>
          <t>Activo</t>
        </is>
      </c>
      <c r="F4" s="14" t="inlineStr">
        <is>
          <t>Descripcion</t>
        </is>
      </c>
    </row>
    <row r="5">
      <c r="A5" t="inlineStr">
        <is>
          <t>TD-01</t>
        </is>
      </c>
      <c r="B5" t="inlineStr">
        <is>
          <t>Factura electronica</t>
        </is>
      </c>
      <c r="C5" t="inlineStr">
        <is>
          <t>FE</t>
        </is>
      </c>
      <c r="D5" t="inlineStr">
        <is>
          <t>Si</t>
        </is>
      </c>
      <c r="E5" t="inlineStr">
        <is>
          <t>Si</t>
        </is>
      </c>
    </row>
    <row r="6">
      <c r="A6" t="inlineStr">
        <is>
          <t>TD-02</t>
        </is>
      </c>
      <c r="B6" t="inlineStr">
        <is>
          <t>Documento equivalente</t>
        </is>
      </c>
      <c r="C6" t="inlineStr">
        <is>
          <t>DE</t>
        </is>
      </c>
      <c r="D6" t="inlineStr">
        <is>
          <t>No</t>
        </is>
      </c>
      <c r="E6" t="inlineStr">
        <is>
          <t>Si</t>
        </is>
      </c>
    </row>
    <row r="7">
      <c r="A7" t="inlineStr">
        <is>
          <t>TD-03</t>
        </is>
      </c>
      <c r="B7" t="inlineStr">
        <is>
          <t>Documento soporte</t>
        </is>
      </c>
      <c r="C7" t="inlineStr">
        <is>
          <t>DS</t>
        </is>
      </c>
      <c r="D7" t="inlineStr">
        <is>
          <t>No</t>
        </is>
      </c>
      <c r="E7" t="inlineStr">
        <is>
          <t>Si</t>
        </is>
      </c>
      <c r="F7" t="inlineStr">
        <is>
          <t>Compras a no obligados a facturar</t>
        </is>
      </c>
    </row>
    <row r="8">
      <c r="A8" t="inlineStr">
        <is>
          <t>TD-04</t>
        </is>
      </c>
      <c r="B8" t="inlineStr">
        <is>
          <t>Nota credito</t>
        </is>
      </c>
      <c r="C8" t="inlineStr">
        <is>
          <t>NC</t>
        </is>
      </c>
      <c r="D8" t="inlineStr">
        <is>
          <t>Si</t>
        </is>
      </c>
      <c r="E8" t="inlineStr">
        <is>
          <t>Si</t>
        </is>
      </c>
    </row>
    <row r="9">
      <c r="A9" t="inlineStr">
        <is>
          <t>TD-05</t>
        </is>
      </c>
      <c r="B9" t="inlineStr">
        <is>
          <t>Nota debito</t>
        </is>
      </c>
      <c r="C9" t="inlineStr">
        <is>
          <t>ND</t>
        </is>
      </c>
      <c r="D9" t="inlineStr">
        <is>
          <t>Si</t>
        </is>
      </c>
      <c r="E9" t="inlineStr">
        <is>
          <t>Si</t>
        </is>
      </c>
    </row>
    <row r="10">
      <c r="A10" t="inlineStr">
        <is>
          <t>TD-06</t>
        </is>
      </c>
      <c r="B10" t="inlineStr">
        <is>
          <t>Recibo</t>
        </is>
      </c>
      <c r="C10" t="inlineStr">
        <is>
          <t>RC</t>
        </is>
      </c>
      <c r="D10" t="inlineStr">
        <is>
          <t>No</t>
        </is>
      </c>
      <c r="E10" t="inlineStr">
        <is>
          <t>Si</t>
        </is>
      </c>
    </row>
    <row r="11">
      <c r="A11" t="inlineStr">
        <is>
          <t>TD-07</t>
        </is>
      </c>
      <c r="B11" t="inlineStr">
        <is>
          <t>Comprobante</t>
        </is>
      </c>
      <c r="C11" t="inlineStr">
        <is>
          <t>CO</t>
        </is>
      </c>
      <c r="D11" t="inlineStr">
        <is>
          <t>No</t>
        </is>
      </c>
      <c r="E11" t="inlineStr">
        <is>
          <t>Si</t>
        </is>
      </c>
    </row>
    <row r="12">
      <c r="A12" t="inlineStr">
        <is>
          <t>TD-08</t>
        </is>
      </c>
      <c r="B12" t="inlineStr">
        <is>
          <t>Extracto bancario</t>
        </is>
      </c>
      <c r="C12" t="inlineStr">
        <is>
          <t>EB</t>
        </is>
      </c>
      <c r="D12" t="inlineStr">
        <is>
          <t>No</t>
        </is>
      </c>
      <c r="E12" t="inlineStr">
        <is>
          <t>Si</t>
        </is>
      </c>
    </row>
    <row r="13">
      <c r="A13" t="inlineStr">
        <is>
          <t>TD-09</t>
        </is>
      </c>
      <c r="B13" t="inlineStr">
        <is>
          <t>Nomina</t>
        </is>
      </c>
      <c r="C13" t="inlineStr">
        <is>
          <t>NM</t>
        </is>
      </c>
      <c r="D13" t="inlineStr">
        <is>
          <t>No</t>
        </is>
      </c>
      <c r="E13" t="inlineStr">
        <is>
          <t>Si</t>
        </is>
      </c>
    </row>
    <row r="14">
      <c r="A14" t="inlineStr">
        <is>
          <t>TD-10</t>
        </is>
      </c>
      <c r="B14" t="inlineStr">
        <is>
          <t>Contrato</t>
        </is>
      </c>
      <c r="C14" t="inlineStr">
        <is>
          <t>CT</t>
        </is>
      </c>
      <c r="D14" t="inlineStr">
        <is>
          <t>No</t>
        </is>
      </c>
      <c r="E14" t="inlineStr">
        <is>
          <t>Si</t>
        </is>
      </c>
    </row>
    <row r="15">
      <c r="A15" t="inlineStr">
        <is>
          <t>TD-11</t>
        </is>
      </c>
      <c r="B15" t="inlineStr">
        <is>
          <t>Otro</t>
        </is>
      </c>
      <c r="C15" t="inlineStr">
        <is>
          <t>OT</t>
        </is>
      </c>
      <c r="D15" t="inlineStr">
        <is>
          <t>No</t>
        </is>
      </c>
      <c r="E15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1F4E78"/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4"/>
    <col width="17" customWidth="1" style="33" min="5" max="5"/>
  </cols>
  <sheetData>
    <row r="1" ht="21" customHeight="1" s="33">
      <c r="A1" s="1" t="inlineStr">
        <is>
          <t>ESTADOS</t>
        </is>
      </c>
    </row>
    <row r="2">
      <c r="A2" s="2" t="inlineStr">
        <is>
          <t>Catalogo de estados por ambito - referencia; los desplegables usan listas fijas por ambito</t>
        </is>
      </c>
    </row>
    <row r="4" ht="27.95" customHeight="1" s="33">
      <c r="A4" s="14" t="inlineStr">
        <is>
          <t>Codigo</t>
        </is>
      </c>
      <c r="B4" s="14" t="inlineStr">
        <is>
          <t>Estado</t>
        </is>
      </c>
      <c r="C4" s="14" t="inlineStr">
        <is>
          <t>Ambito</t>
        </is>
      </c>
      <c r="D4" s="14" t="inlineStr">
        <is>
          <t>Activo</t>
        </is>
      </c>
      <c r="E4" s="14" t="inlineStr">
        <is>
          <t>Descripcion</t>
        </is>
      </c>
    </row>
    <row r="5">
      <c r="A5" t="inlineStr">
        <is>
          <t>EST-01</t>
        </is>
      </c>
      <c r="B5" t="inlineStr">
        <is>
          <t>Pendiente</t>
        </is>
      </c>
      <c r="C5" t="inlineStr">
        <is>
          <t>Movimiento</t>
        </is>
      </c>
      <c r="D5" t="inlineStr">
        <is>
          <t>Si</t>
        </is>
      </c>
    </row>
    <row r="6">
      <c r="A6" t="inlineStr">
        <is>
          <t>EST-02</t>
        </is>
      </c>
      <c r="B6" t="inlineStr">
        <is>
          <t>Pagado</t>
        </is>
      </c>
      <c r="C6" t="inlineStr">
        <is>
          <t>Movimiento</t>
        </is>
      </c>
      <c r="D6" t="inlineStr">
        <is>
          <t>Si</t>
        </is>
      </c>
    </row>
    <row r="7">
      <c r="A7" t="inlineStr">
        <is>
          <t>EST-03</t>
        </is>
      </c>
      <c r="B7" t="inlineStr">
        <is>
          <t>Anulado</t>
        </is>
      </c>
      <c r="C7" t="inlineStr">
        <is>
          <t>Movimiento</t>
        </is>
      </c>
      <c r="D7" t="inlineStr">
        <is>
          <t>Si</t>
        </is>
      </c>
    </row>
    <row r="8">
      <c r="A8" t="inlineStr">
        <is>
          <t>EST-04</t>
        </is>
      </c>
      <c r="B8" t="inlineStr">
        <is>
          <t>Validado</t>
        </is>
      </c>
      <c r="C8" t="inlineStr">
        <is>
          <t>Documento</t>
        </is>
      </c>
      <c r="D8" t="inlineStr">
        <is>
          <t>Si</t>
        </is>
      </c>
    </row>
    <row r="9">
      <c r="A9" t="inlineStr">
        <is>
          <t>EST-05</t>
        </is>
      </c>
      <c r="B9" t="inlineStr">
        <is>
          <t>Pendiente</t>
        </is>
      </c>
      <c r="C9" t="inlineStr">
        <is>
          <t>Documento</t>
        </is>
      </c>
      <c r="D9" t="inlineStr">
        <is>
          <t>Si</t>
        </is>
      </c>
    </row>
    <row r="10">
      <c r="A10" t="inlineStr">
        <is>
          <t>EST-06</t>
        </is>
      </c>
      <c r="B10" t="inlineStr">
        <is>
          <t>Error</t>
        </is>
      </c>
      <c r="C10" t="inlineStr">
        <is>
          <t>Documento</t>
        </is>
      </c>
      <c r="D10" t="inlineStr">
        <is>
          <t>Si</t>
        </is>
      </c>
    </row>
    <row r="11">
      <c r="A11" t="inlineStr">
        <is>
          <t>EST-07</t>
        </is>
      </c>
      <c r="B11" t="inlineStr">
        <is>
          <t>Revision Manual</t>
        </is>
      </c>
      <c r="C11" t="inlineStr">
        <is>
          <t>Documento</t>
        </is>
      </c>
      <c r="D11" t="inlineStr">
        <is>
          <t>Si</t>
        </is>
      </c>
    </row>
    <row r="12">
      <c r="A12" t="inlineStr">
        <is>
          <t>EST-08</t>
        </is>
      </c>
      <c r="B12" t="inlineStr">
        <is>
          <t>Duplicado</t>
        </is>
      </c>
      <c r="C12" t="inlineStr">
        <is>
          <t>Documento</t>
        </is>
      </c>
      <c r="D12" t="inlineStr">
        <is>
          <t>Si</t>
        </is>
      </c>
    </row>
    <row r="13">
      <c r="A13" t="inlineStr">
        <is>
          <t>EST-09</t>
        </is>
      </c>
      <c r="B13" t="inlineStr">
        <is>
          <t>Pendiente</t>
        </is>
      </c>
      <c r="C13" t="inlineStr">
        <is>
          <t>Pago/Cobro</t>
        </is>
      </c>
      <c r="D13" t="inlineStr">
        <is>
          <t>Si</t>
        </is>
      </c>
    </row>
    <row r="14">
      <c r="A14" t="inlineStr">
        <is>
          <t>EST-10</t>
        </is>
      </c>
      <c r="B14" t="inlineStr">
        <is>
          <t>Aplicado</t>
        </is>
      </c>
      <c r="C14" t="inlineStr">
        <is>
          <t>Pago/Cobro</t>
        </is>
      </c>
      <c r="D14" t="inlineStr">
        <is>
          <t>Si</t>
        </is>
      </c>
    </row>
    <row r="15">
      <c r="A15" t="inlineStr">
        <is>
          <t>EST-11</t>
        </is>
      </c>
      <c r="B15" t="inlineStr">
        <is>
          <t>Anulado</t>
        </is>
      </c>
      <c r="C15" t="inlineStr">
        <is>
          <t>Pago/Cobro</t>
        </is>
      </c>
      <c r="D15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1F4E78"/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15" customWidth="1" style="33" min="2" max="2"/>
    <col width="12" customWidth="1" style="33" min="3" max="3"/>
    <col width="17" customWidth="1" style="33" min="4" max="4"/>
  </cols>
  <sheetData>
    <row r="1" ht="21" customHeight="1" s="33">
      <c r="A1" s="1" t="inlineStr">
        <is>
          <t>MEDIOS_PAGO</t>
        </is>
      </c>
    </row>
    <row r="4" ht="27.95" customHeight="1" s="33">
      <c r="A4" s="14" t="inlineStr">
        <is>
          <t>Codigo</t>
        </is>
      </c>
      <c r="B4" s="14" t="inlineStr">
        <is>
          <t>MedioPago</t>
        </is>
      </c>
      <c r="C4" s="14" t="inlineStr">
        <is>
          <t>Activo</t>
        </is>
      </c>
      <c r="D4" s="14" t="inlineStr">
        <is>
          <t>Descripcion</t>
        </is>
      </c>
    </row>
    <row r="5">
      <c r="A5" t="inlineStr">
        <is>
          <t>MP-01</t>
        </is>
      </c>
      <c r="B5" t="inlineStr">
        <is>
          <t>Efectivo</t>
        </is>
      </c>
      <c r="C5" t="inlineStr">
        <is>
          <t>Si</t>
        </is>
      </c>
    </row>
    <row r="6">
      <c r="A6" t="inlineStr">
        <is>
          <t>MP-02</t>
        </is>
      </c>
      <c r="B6" t="inlineStr">
        <is>
          <t>Transferencia bancaria</t>
        </is>
      </c>
      <c r="C6" t="inlineStr">
        <is>
          <t>Si</t>
        </is>
      </c>
    </row>
    <row r="7">
      <c r="A7" t="inlineStr">
        <is>
          <t>MP-03</t>
        </is>
      </c>
      <c r="B7" t="inlineStr">
        <is>
          <t>Tarjeta debito</t>
        </is>
      </c>
      <c r="C7" t="inlineStr">
        <is>
          <t>Si</t>
        </is>
      </c>
    </row>
    <row r="8">
      <c r="A8" t="inlineStr">
        <is>
          <t>MP-04</t>
        </is>
      </c>
      <c r="B8" t="inlineStr">
        <is>
          <t>Tarjeta credito</t>
        </is>
      </c>
      <c r="C8" t="inlineStr">
        <is>
          <t>Si</t>
        </is>
      </c>
    </row>
    <row r="9">
      <c r="A9" t="inlineStr">
        <is>
          <t>MP-05</t>
        </is>
      </c>
      <c r="B9" t="inlineStr">
        <is>
          <t>Cheque</t>
        </is>
      </c>
      <c r="C9" t="inlineStr">
        <is>
          <t>Si</t>
        </is>
      </c>
    </row>
    <row r="10">
      <c r="A10" t="inlineStr">
        <is>
          <t>MP-06</t>
        </is>
      </c>
      <c r="B10" t="inlineStr">
        <is>
          <t>Billetera digital</t>
        </is>
      </c>
      <c r="C10" t="inlineStr">
        <is>
          <t>Si</t>
        </is>
      </c>
    </row>
    <row r="11">
      <c r="A11" t="inlineStr">
        <is>
          <t>MP-07</t>
        </is>
      </c>
      <c r="B11" t="inlineStr">
        <is>
          <t>Otro</t>
        </is>
      </c>
      <c r="C11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1F4E78"/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13" customWidth="1" style="33" min="2" max="2"/>
    <col width="12" customWidth="1" style="33" min="3" max="5"/>
    <col width="19" customWidth="1" style="33" min="6" max="6"/>
  </cols>
  <sheetData>
    <row r="1" ht="21" customHeight="1" s="33">
      <c r="A1" s="1" t="inlineStr">
        <is>
          <t>USUARIOS_ROLES</t>
        </is>
      </c>
    </row>
    <row r="2">
      <c r="A2" s="2" t="inlineStr">
        <is>
          <t>Administracion de usuarios - control de acceso logico (no reemplaza proteccion de Excel)</t>
        </is>
      </c>
    </row>
    <row r="4" ht="27.95" customHeight="1" s="33">
      <c r="A4" s="14" t="inlineStr">
        <is>
          <t>ID</t>
        </is>
      </c>
      <c r="B4" s="14" t="inlineStr">
        <is>
          <t>Usuario</t>
        </is>
      </c>
      <c r="C4" s="14" t="inlineStr">
        <is>
          <t>Rol</t>
        </is>
      </c>
      <c r="D4" s="14" t="inlineStr">
        <is>
          <t>Email</t>
        </is>
      </c>
      <c r="E4" s="14" t="inlineStr">
        <is>
          <t>Activo</t>
        </is>
      </c>
      <c r="F4" s="14" t="inlineStr">
        <is>
          <t>Observaciones</t>
        </is>
      </c>
    </row>
    <row r="5">
      <c r="A5" t="inlineStr">
        <is>
          <t>USR-001</t>
        </is>
      </c>
      <c r="B5" t="inlineStr">
        <is>
          <t>Administrador</t>
        </is>
      </c>
      <c r="C5" t="inlineStr">
        <is>
          <t>Administrador</t>
        </is>
      </c>
      <c r="E5" t="inlineStr">
        <is>
          <t>Si</t>
        </is>
      </c>
      <c r="F5" t="inlineStr">
        <is>
          <t>Acceso total</t>
        </is>
      </c>
    </row>
    <row r="6">
      <c r="A6" t="inlineStr">
        <is>
          <t>USR-002</t>
        </is>
      </c>
      <c r="B6" t="inlineStr">
        <is>
          <t>Contador</t>
        </is>
      </c>
      <c r="C6" t="inlineStr">
        <is>
          <t>Contador</t>
        </is>
      </c>
      <c r="E6" t="inlineStr">
        <is>
          <t>Si</t>
        </is>
      </c>
      <c r="F6" t="inlineStr">
        <is>
          <t>Registro y validacion contable</t>
        </is>
      </c>
    </row>
    <row r="7">
      <c r="A7" t="inlineStr">
        <is>
          <t>USR-003</t>
        </is>
      </c>
      <c r="B7" t="inlineStr">
        <is>
          <t>Auxiliar</t>
        </is>
      </c>
      <c r="C7" t="inlineStr">
        <is>
          <t>Auxiliar</t>
        </is>
      </c>
      <c r="E7" t="inlineStr">
        <is>
          <t>Si</t>
        </is>
      </c>
      <c r="F7" t="inlineStr">
        <is>
          <t>Digitacion y digitalizacion</t>
        </is>
      </c>
    </row>
    <row r="8">
      <c r="A8" t="inlineStr">
        <is>
          <t>USR-004</t>
        </is>
      </c>
      <c r="B8" t="inlineStr">
        <is>
          <t>Consulta</t>
        </is>
      </c>
      <c r="C8" t="inlineStr">
        <is>
          <t>Consulta</t>
        </is>
      </c>
      <c r="E8" t="inlineStr">
        <is>
          <t>Si</t>
        </is>
      </c>
      <c r="F8" t="inlineStr">
        <is>
          <t>Solo lectura de reportes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2E7D32"/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2"/>
    <col width="23" customWidth="1" style="33" min="3" max="3"/>
    <col width="12" customWidth="1" style="33" min="4" max="4"/>
    <col width="14" customWidth="1" style="33" min="5" max="5"/>
    <col width="12" customWidth="1" style="33" min="6" max="6"/>
    <col width="14" customWidth="1" style="33" min="7" max="7"/>
    <col width="15" customWidth="1" style="33" min="8" max="8"/>
    <col width="12" customWidth="1" style="33" min="9" max="10"/>
    <col width="19" customWidth="1" style="33" min="11" max="11"/>
    <col width="20" customWidth="1" style="33" min="12" max="12"/>
  </cols>
  <sheetData>
    <row r="1" ht="21" customHeight="1" s="33">
      <c r="A1" s="16" t="inlineStr">
        <is>
          <t>TERCEROS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18" t="inlineStr">
        <is>
          <t>Base unica de clientes, proveedores, empleados, socios y entidades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 ht="27.95" customHeight="1" s="33">
      <c r="A4" s="19" t="inlineStr">
        <is>
          <t>ID</t>
        </is>
      </c>
      <c r="B4" s="19" t="inlineStr">
        <is>
          <t>Tipo</t>
        </is>
      </c>
      <c r="C4" s="19" t="inlineStr">
        <is>
          <t>NombreRazonSocial</t>
        </is>
      </c>
      <c r="D4" s="19" t="inlineStr">
        <is>
          <t>NIT_ID</t>
        </is>
      </c>
      <c r="E4" s="19" t="inlineStr">
        <is>
          <t>Contacto</t>
        </is>
      </c>
      <c r="F4" s="19" t="inlineStr">
        <is>
          <t>Email</t>
        </is>
      </c>
      <c r="G4" s="19" t="inlineStr">
        <is>
          <t>Telefono</t>
        </is>
      </c>
      <c r="H4" s="19" t="inlineStr">
        <is>
          <t>Direccion</t>
        </is>
      </c>
      <c r="I4" s="19" t="inlineStr">
        <is>
          <t>Ciudad</t>
        </is>
      </c>
      <c r="J4" s="19" t="inlineStr">
        <is>
          <t>Estado</t>
        </is>
      </c>
      <c r="K4" s="19" t="inlineStr">
        <is>
          <t>Observaciones</t>
        </is>
      </c>
      <c r="L4" s="14" t="inlineStr">
        <is>
          <t>ClaveDuplicado</t>
        </is>
      </c>
    </row>
    <row r="5">
      <c r="A5" s="39" t="inlineStr">
        <is>
          <t>TER-DEMO-001</t>
        </is>
      </c>
      <c r="B5" s="39" t="inlineStr">
        <is>
          <t>Cliente</t>
        </is>
      </c>
      <c r="C5" s="39" t="inlineStr">
        <is>
          <t>Cliente Aurora Demo S.A.S.</t>
        </is>
      </c>
      <c r="D5" s="39" t="inlineStr">
        <is>
          <t>900000001-2 (FICTICIO)</t>
        </is>
      </c>
      <c r="E5" s="39" t="inlineStr">
        <is>
          <t>Contacto de demostración</t>
        </is>
      </c>
      <c r="F5" s="39" t="inlineStr">
        <is>
          <t>cliente.demo@example.invalid</t>
        </is>
      </c>
      <c r="G5" s="39" t="inlineStr">
        <is>
          <t>0000000000</t>
        </is>
      </c>
      <c r="H5" s="39" t="inlineStr">
        <is>
          <t>Dirección ficticia</t>
        </is>
      </c>
      <c r="I5" s="39" t="inlineStr">
        <is>
          <t>Bogotá D.C.</t>
        </is>
      </c>
      <c r="J5" s="39" t="inlineStr">
        <is>
          <t>Activo</t>
        </is>
      </c>
      <c r="K5" s="39" t="inlineStr">
        <is>
          <t>Registro ficticio para simulación; no usar como tercero real.</t>
        </is>
      </c>
      <c r="L5">
        <f>IF(D5="","",TRIM(UPPER(D5)))</f>
        <v/>
      </c>
    </row>
    <row r="6">
      <c r="A6" s="39" t="inlineStr">
        <is>
          <t>TER-DEMO-002</t>
        </is>
      </c>
      <c r="B6" s="39" t="inlineStr">
        <is>
          <t>Proveedor</t>
        </is>
      </c>
      <c r="C6" s="39" t="inlineStr">
        <is>
          <t>Suministros Pacífico Demo S.A.S.</t>
        </is>
      </c>
      <c r="D6" s="39" t="inlineStr">
        <is>
          <t>900000002-3 (FICTICIO)</t>
        </is>
      </c>
      <c r="E6" s="39" t="inlineStr">
        <is>
          <t>Contacto de demostración</t>
        </is>
      </c>
      <c r="F6" s="39" t="inlineStr">
        <is>
          <t>proveedor.demo@example.invalid</t>
        </is>
      </c>
      <c r="G6" s="39" t="inlineStr">
        <is>
          <t>0000000000</t>
        </is>
      </c>
      <c r="H6" s="39" t="inlineStr">
        <is>
          <t>Dirección ficticia</t>
        </is>
      </c>
      <c r="I6" s="39" t="inlineStr">
        <is>
          <t>Medellín</t>
        </is>
      </c>
      <c r="J6" s="39" t="inlineStr">
        <is>
          <t>Activo</t>
        </is>
      </c>
      <c r="K6" s="39" t="inlineStr">
        <is>
          <t>Registro ficticio para simulación; no usar como tercero real.</t>
        </is>
      </c>
      <c r="L6">
        <f>IF(D6="","",TRIM(UPPER(D6)))</f>
        <v/>
      </c>
    </row>
    <row r="7">
      <c r="A7" s="39" t="inlineStr">
        <is>
          <t>TER-DEMO-003</t>
        </is>
      </c>
      <c r="B7" s="39" t="inlineStr">
        <is>
          <t>Proveedor</t>
        </is>
      </c>
      <c r="C7" s="39" t="inlineStr">
        <is>
          <t>Nube Clara Demo S.A.S.</t>
        </is>
      </c>
      <c r="D7" s="39" t="inlineStr">
        <is>
          <t>900000003-4 (FICTICIO)</t>
        </is>
      </c>
      <c r="E7" s="39" t="inlineStr">
        <is>
          <t>Contacto de demostración</t>
        </is>
      </c>
      <c r="F7" s="39" t="inlineStr">
        <is>
          <t>nube.demo@example.invalid</t>
        </is>
      </c>
      <c r="G7" s="39" t="inlineStr">
        <is>
          <t>0000000000</t>
        </is>
      </c>
      <c r="H7" s="39" t="inlineStr">
        <is>
          <t>Dirección ficticia</t>
        </is>
      </c>
      <c r="I7" s="39" t="inlineStr">
        <is>
          <t>Cali</t>
        </is>
      </c>
      <c r="J7" s="39" t="inlineStr">
        <is>
          <t>Activo</t>
        </is>
      </c>
      <c r="K7" s="39" t="inlineStr">
        <is>
          <t>Registro ficticio para simulación; no usar como tercero real.</t>
        </is>
      </c>
      <c r="L7">
        <f>IF(D7="","",TRIM(UPPER(D7)))</f>
        <v/>
      </c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inlineStr">
        <is>
          <t>Activo</t>
        </is>
      </c>
      <c r="K8" s="39" t="n"/>
      <c r="L8">
        <f>IF(D8="","",TRIM(UPPER(D8)))</f>
        <v/>
      </c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inlineStr">
        <is>
          <t>Activo</t>
        </is>
      </c>
      <c r="K9" s="39" t="n"/>
      <c r="L9">
        <f>IF(D9="","",TRIM(UPPER(D9)))</f>
        <v/>
      </c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inlineStr">
        <is>
          <t>Activo</t>
        </is>
      </c>
      <c r="K10" s="39" t="n"/>
      <c r="L10">
        <f>IF(D10="","",TRIM(UPPER(D10)))</f>
        <v/>
      </c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inlineStr">
        <is>
          <t>Activo</t>
        </is>
      </c>
      <c r="K11" s="39" t="n"/>
      <c r="L11">
        <f>IF(D11="","",TRIM(UPPER(D11)))</f>
        <v/>
      </c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inlineStr">
        <is>
          <t>Activo</t>
        </is>
      </c>
      <c r="K12" s="39" t="n"/>
      <c r="L12">
        <f>IF(D12="","",TRIM(UPPER(D12)))</f>
        <v/>
      </c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inlineStr">
        <is>
          <t>Activo</t>
        </is>
      </c>
      <c r="K13" s="39" t="n"/>
      <c r="L13">
        <f>IF(D13="","",TRIM(UPPER(D13)))</f>
        <v/>
      </c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inlineStr">
        <is>
          <t>Activo</t>
        </is>
      </c>
      <c r="K14" s="39" t="n"/>
      <c r="L14">
        <f>IF(D14="","",TRIM(UPPER(D14)))</f>
        <v/>
      </c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inlineStr">
        <is>
          <t>Activo</t>
        </is>
      </c>
      <c r="K15" s="39" t="n"/>
      <c r="L15">
        <f>IF(D15="","",TRIM(UPPER(D15)))</f>
        <v/>
      </c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inlineStr">
        <is>
          <t>Activo</t>
        </is>
      </c>
      <c r="K16" s="39" t="n"/>
      <c r="L16">
        <f>IF(D16="","",TRIM(UPPER(D16)))</f>
        <v/>
      </c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inlineStr">
        <is>
          <t>Activo</t>
        </is>
      </c>
      <c r="K17" s="39" t="n"/>
      <c r="L17">
        <f>IF(D17="","",TRIM(UPPER(D17)))</f>
        <v/>
      </c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inlineStr">
        <is>
          <t>Activo</t>
        </is>
      </c>
      <c r="K18" s="39" t="n"/>
      <c r="L18">
        <f>IF(D18="","",TRIM(UPPER(D18)))</f>
        <v/>
      </c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inlineStr">
        <is>
          <t>Activo</t>
        </is>
      </c>
      <c r="K19" s="39" t="n"/>
      <c r="L19">
        <f>IF(D19="","",TRIM(UPPER(D19)))</f>
        <v/>
      </c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inlineStr">
        <is>
          <t>Activo</t>
        </is>
      </c>
      <c r="K20" s="39" t="n"/>
      <c r="L20">
        <f>IF(D20="","",TRIM(UPPER(D20)))</f>
        <v/>
      </c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inlineStr">
        <is>
          <t>Activo</t>
        </is>
      </c>
      <c r="K21" s="39" t="n"/>
      <c r="L21">
        <f>IF(D21="","",TRIM(UPPER(D21)))</f>
        <v/>
      </c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inlineStr">
        <is>
          <t>Activo</t>
        </is>
      </c>
      <c r="K22" s="39" t="n"/>
      <c r="L22">
        <f>IF(D22="","",TRIM(UPPER(D22)))</f>
        <v/>
      </c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inlineStr">
        <is>
          <t>Activo</t>
        </is>
      </c>
      <c r="K23" s="39" t="n"/>
      <c r="L23">
        <f>IF(D23="","",TRIM(UPPER(D23)))</f>
        <v/>
      </c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inlineStr">
        <is>
          <t>Activo</t>
        </is>
      </c>
      <c r="K24" s="39" t="n"/>
      <c r="L24">
        <f>IF(D24="","",TRIM(UPPER(D24)))</f>
        <v/>
      </c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inlineStr">
        <is>
          <t>Activo</t>
        </is>
      </c>
      <c r="K25" s="39" t="n"/>
      <c r="L25">
        <f>IF(D25="","",TRIM(UPPER(D25)))</f>
        <v/>
      </c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inlineStr">
        <is>
          <t>Activo</t>
        </is>
      </c>
      <c r="K26" s="39" t="n"/>
      <c r="L26">
        <f>IF(D26="","",TRIM(UPPER(D26)))</f>
        <v/>
      </c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inlineStr">
        <is>
          <t>Activo</t>
        </is>
      </c>
      <c r="K27" s="39" t="n"/>
      <c r="L27">
        <f>IF(D27="","",TRIM(UPPER(D27)))</f>
        <v/>
      </c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inlineStr">
        <is>
          <t>Activo</t>
        </is>
      </c>
      <c r="K28" s="39" t="n"/>
      <c r="L28">
        <f>IF(D28="","",TRIM(UPPER(D28)))</f>
        <v/>
      </c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inlineStr">
        <is>
          <t>Activo</t>
        </is>
      </c>
      <c r="K29" s="39" t="n"/>
      <c r="L29">
        <f>IF(D29="","",TRIM(UPPER(D29)))</f>
        <v/>
      </c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inlineStr">
        <is>
          <t>Activo</t>
        </is>
      </c>
      <c r="K30" s="39" t="n"/>
      <c r="L30">
        <f>IF(D30="","",TRIM(UPPER(D30)))</f>
        <v/>
      </c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inlineStr">
        <is>
          <t>Activo</t>
        </is>
      </c>
      <c r="K31" s="39" t="n"/>
      <c r="L31">
        <f>IF(D31="","",TRIM(UPPER(D31)))</f>
        <v/>
      </c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inlineStr">
        <is>
          <t>Activo</t>
        </is>
      </c>
      <c r="K32" s="39" t="n"/>
      <c r="L32">
        <f>IF(D32="","",TRIM(UPPER(D32)))</f>
        <v/>
      </c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inlineStr">
        <is>
          <t>Activo</t>
        </is>
      </c>
      <c r="K33" s="39" t="n"/>
      <c r="L33">
        <f>IF(D33="","",TRIM(UPPER(D33)))</f>
        <v/>
      </c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inlineStr">
        <is>
          <t>Activo</t>
        </is>
      </c>
      <c r="K34" s="39" t="n"/>
      <c r="L34">
        <f>IF(D34="","",TRIM(UPPER(D34)))</f>
        <v/>
      </c>
    </row>
  </sheetData>
  <conditionalFormatting sqref="L5:L2004">
    <cfRule type="expression" priority="1" dxfId="2">
      <formula>AND($L5&lt;&gt;"",COUNTIF($L$5:$L$2004,$L5)&gt;1)</formula>
    </cfRule>
  </conditionalFormatting>
  <dataValidations count="2">
    <dataValidation sqref="B5:B2004" showDropDown="0" showInputMessage="0" showErrorMessage="0" allowBlank="1" type="list">
      <formula1>Lst_TipoTercero</formula1>
    </dataValidation>
    <dataValidation sqref="J5:J2004" showDropDown="0" showInputMessage="0" showErrorMessage="0" allowBlank="1" type="list">
      <formula1>"Activo,Inactivo"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2E7D32"/>
    <outlinePr summaryBelow="1" summaryRight="1"/>
    <pageSetUpPr/>
  </sheetPr>
  <dimension ref="A1:S4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2"/>
    <col width="19" customWidth="1" style="33" min="3" max="3"/>
    <col width="12" customWidth="1" style="33" min="4" max="4"/>
    <col width="13" customWidth="1" style="33" min="5" max="5"/>
    <col width="20" customWidth="1" style="33" min="6" max="6"/>
    <col width="14" customWidth="1" style="33" min="7" max="7"/>
    <col width="15" customWidth="1" style="33" min="8" max="8"/>
    <col width="17" customWidth="1" style="33" min="9" max="9"/>
    <col width="12" customWidth="1" style="33" min="10" max="10"/>
    <col width="21" customWidth="1" style="33" min="11" max="11"/>
    <col width="12" customWidth="1" style="33" min="12" max="12"/>
    <col width="17" customWidth="1" style="33" min="13" max="13"/>
    <col width="19" customWidth="1" style="33" min="14" max="14"/>
    <col width="17" customWidth="1" style="33" min="15" max="15"/>
    <col width="21" customWidth="1" style="33" min="16" max="16"/>
    <col width="22" customWidth="1" style="33" min="17" max="17"/>
    <col width="15" customWidth="1" style="33" min="18" max="18"/>
    <col width="19" customWidth="1" style="33" min="19" max="19"/>
  </cols>
  <sheetData>
    <row r="1" ht="21" customHeight="1" s="33">
      <c r="A1" s="1" t="inlineStr">
        <is>
          <t>DOCUMENTOS</t>
        </is>
      </c>
    </row>
    <row r="2">
      <c r="A2" s="2" t="inlineStr">
        <is>
          <t>Soportes digitalizados: facturas, recibos, extractos y demas documentos</t>
        </is>
      </c>
    </row>
    <row r="4" ht="27.95" customHeight="1" s="33">
      <c r="A4" s="14" t="inlineStr">
        <is>
          <t>ID</t>
        </is>
      </c>
      <c r="B4" s="14" t="inlineStr">
        <is>
          <t>Fecha</t>
        </is>
      </c>
      <c r="C4" s="14" t="inlineStr">
        <is>
          <t>TipoDocumento</t>
        </is>
      </c>
      <c r="D4" s="14" t="inlineStr">
        <is>
          <t>Numero</t>
        </is>
      </c>
      <c r="E4" s="14" t="inlineStr">
        <is>
          <t>Tercero</t>
        </is>
      </c>
      <c r="F4" s="14" t="inlineStr">
        <is>
          <t>Identificacion</t>
        </is>
      </c>
      <c r="G4" s="14" t="inlineStr">
        <is>
          <t>Subtotal</t>
        </is>
      </c>
      <c r="H4" s="14" t="inlineStr">
        <is>
          <t>Impuestos</t>
        </is>
      </c>
      <c r="I4" s="14" t="inlineStr">
        <is>
          <t>Retenciones</t>
        </is>
      </c>
      <c r="J4" s="14" t="inlineStr">
        <is>
          <t>Total</t>
        </is>
      </c>
      <c r="K4" s="14" t="inlineStr">
        <is>
          <t>CUFE_Referencia</t>
        </is>
      </c>
      <c r="L4" s="14" t="inlineStr">
        <is>
          <t>Estado</t>
        </is>
      </c>
      <c r="M4" s="14" t="inlineStr">
        <is>
          <t>RutaArchivo</t>
        </is>
      </c>
      <c r="N4" s="14" t="inlineStr">
        <is>
          <t>NombreArchivo</t>
        </is>
      </c>
      <c r="O4" s="14" t="inlineStr">
        <is>
          <t>TipoArchivo</t>
        </is>
      </c>
      <c r="P4" s="14" t="inlineStr">
        <is>
          <t>FechaExtraccion</t>
        </is>
      </c>
      <c r="Q4" s="14" t="inlineStr">
        <is>
          <t>MetodoExtraccion</t>
        </is>
      </c>
      <c r="R4" s="14" t="inlineStr">
        <is>
          <t>Confianza</t>
        </is>
      </c>
      <c r="S4" s="14" t="inlineStr">
        <is>
          <t>Observaciones</t>
        </is>
      </c>
    </row>
    <row r="5">
      <c r="A5" t="inlineStr">
        <is>
          <t>DOC-DEMO-001</t>
        </is>
      </c>
      <c r="B5" s="41" t="n">
        <v>46273</v>
      </c>
      <c r="C5" t="inlineStr">
        <is>
          <t>Factura electronica</t>
        </is>
      </c>
      <c r="D5" t="inlineStr">
        <is>
          <t>FV-DEMO-001</t>
        </is>
      </c>
      <c r="E5" t="inlineStr">
        <is>
          <t>Cliente Aurora Demo S.A.S.</t>
        </is>
      </c>
      <c r="F5" t="inlineStr">
        <is>
          <t>900000001-2 (FICTICIO)</t>
        </is>
      </c>
      <c r="G5" s="42" t="n">
        <v>4800000</v>
      </c>
      <c r="H5" s="42" t="n">
        <v>0</v>
      </c>
      <c r="I5" s="42" t="n">
        <v>0</v>
      </c>
      <c r="J5" s="42" t="n">
        <v>4800000</v>
      </c>
      <c r="K5" t="inlineStr">
        <is>
          <t>CUFE-FICTICIO-DEMO-001</t>
        </is>
      </c>
      <c r="L5" t="inlineStr">
        <is>
          <t>Validado</t>
        </is>
      </c>
      <c r="M5" t="inlineStr">
        <is>
          <t>DEMO://documentos/FACTURA_DEMO_001.xml</t>
        </is>
      </c>
      <c r="N5" t="inlineStr">
        <is>
          <t>FACTURA_DEMO_001.xml</t>
        </is>
      </c>
      <c r="O5" t="inlineStr">
        <is>
          <t>XML</t>
        </is>
      </c>
      <c r="P5" s="41" t="n">
        <v>46273.38541666666</v>
      </c>
      <c r="Q5" t="inlineStr">
        <is>
          <t>XML</t>
        </is>
      </c>
      <c r="R5" t="n">
        <v>1</v>
      </c>
      <c r="S5" t="inlineStr">
        <is>
          <t>XML estructurado ficticio; campos y sumas de ejemplo.</t>
        </is>
      </c>
    </row>
    <row r="6">
      <c r="A6" t="inlineStr">
        <is>
          <t>DOC-DEMO-002</t>
        </is>
      </c>
      <c r="B6" s="41" t="n">
        <v>46277</v>
      </c>
      <c r="C6" t="inlineStr">
        <is>
          <t>Factura electronica</t>
        </is>
      </c>
      <c r="D6" t="inlineStr">
        <is>
          <t>FV-DEMO-002</t>
        </is>
      </c>
      <c r="E6" t="inlineStr">
        <is>
          <t>Cliente Aurora Demo S.A.S.</t>
        </is>
      </c>
      <c r="F6" t="inlineStr">
        <is>
          <t>900000001-2 (FICTICIO)</t>
        </is>
      </c>
      <c r="G6" s="42" t="n">
        <v>2150000</v>
      </c>
      <c r="H6" s="42" t="n">
        <v>0</v>
      </c>
      <c r="I6" s="42" t="n">
        <v>0</v>
      </c>
      <c r="J6" s="42" t="n">
        <v>2150000</v>
      </c>
      <c r="K6" t="inlineStr">
        <is>
          <t>CUFE-FICTICIO-DEMO-002</t>
        </is>
      </c>
      <c r="L6" t="inlineStr">
        <is>
          <t>Validado</t>
        </is>
      </c>
      <c r="M6" t="inlineStr">
        <is>
          <t>DEMO://documentos/FACTURA_DEMO_002.xml</t>
        </is>
      </c>
      <c r="N6" t="inlineStr">
        <is>
          <t>FACTURA_DEMO_002.xml</t>
        </is>
      </c>
      <c r="O6" t="inlineStr">
        <is>
          <t>XML</t>
        </is>
      </c>
      <c r="P6" s="41" t="n">
        <v>46277.42013888889</v>
      </c>
      <c r="Q6" t="inlineStr">
        <is>
          <t>XML</t>
        </is>
      </c>
      <c r="R6" t="n">
        <v>1</v>
      </c>
      <c r="S6" t="inlineStr">
        <is>
          <t>Factura ficticia relacionada con una cuenta pendiente de cobro.</t>
        </is>
      </c>
    </row>
    <row r="7">
      <c r="A7" t="inlineStr">
        <is>
          <t>DOC-DEMO-003</t>
        </is>
      </c>
      <c r="B7" s="41" t="n">
        <v>46275</v>
      </c>
      <c r="C7" t="inlineStr">
        <is>
          <t>Factura electronica</t>
        </is>
      </c>
      <c r="D7" t="inlineStr">
        <is>
          <t>FC-DEMO-003</t>
        </is>
      </c>
      <c r="E7" t="inlineStr">
        <is>
          <t>Suministros Pacífico Demo S.A.S.</t>
        </is>
      </c>
      <c r="F7" t="inlineStr">
        <is>
          <t>900000002-3 (FICTICIO)</t>
        </is>
      </c>
      <c r="G7" s="42" t="n">
        <v>850000</v>
      </c>
      <c r="H7" s="42" t="n">
        <v>0</v>
      </c>
      <c r="I7" s="42" t="n">
        <v>0</v>
      </c>
      <c r="J7" s="42" t="n">
        <v>850000</v>
      </c>
      <c r="K7" t="inlineStr">
        <is>
          <t>CUFE-FICTICIO-DEMO-003</t>
        </is>
      </c>
      <c r="L7" t="inlineStr">
        <is>
          <t>Validado</t>
        </is>
      </c>
      <c r="M7" t="inlineStr">
        <is>
          <t>DEMO://documentos/FACTURA_DEMO_003.xml</t>
        </is>
      </c>
      <c r="N7" t="inlineStr">
        <is>
          <t>FACTURA_DEMO_003.xml</t>
        </is>
      </c>
      <c r="O7" t="inlineStr">
        <is>
          <t>XML</t>
        </is>
      </c>
      <c r="P7" s="41" t="n">
        <v>46275.47916666666</v>
      </c>
      <c r="Q7" t="inlineStr">
        <is>
          <t>XML</t>
        </is>
      </c>
      <c r="R7" t="n">
        <v>1</v>
      </c>
      <c r="S7" t="inlineStr">
        <is>
          <t>Factura ficticia estructurada; validación aritmética de ejemplo.</t>
        </is>
      </c>
    </row>
    <row r="8">
      <c r="A8" t="inlineStr">
        <is>
          <t>DOC-DEMO-004</t>
        </is>
      </c>
      <c r="B8" s="41" t="n">
        <v>46283</v>
      </c>
      <c r="C8" t="inlineStr">
        <is>
          <t>Factura electronica</t>
        </is>
      </c>
      <c r="D8" t="inlineStr">
        <is>
          <t>FC-DEMO-004</t>
        </is>
      </c>
      <c r="E8" t="inlineStr">
        <is>
          <t>Suministros Pacífico Demo S.A.S.</t>
        </is>
      </c>
      <c r="F8" t="inlineStr">
        <is>
          <t>900000002-3 (FICTICIO)</t>
        </is>
      </c>
      <c r="G8" s="42" t="n">
        <v>420000</v>
      </c>
      <c r="H8" s="42" t="n">
        <v>0</v>
      </c>
      <c r="I8" s="42" t="n">
        <v>0</v>
      </c>
      <c r="J8" s="42" t="n">
        <v>420000</v>
      </c>
      <c r="K8" t="inlineStr">
        <is>
          <t>CUFE-FICTICIO-DEMO-004</t>
        </is>
      </c>
      <c r="L8" t="inlineStr">
        <is>
          <t>Validado</t>
        </is>
      </c>
      <c r="M8" t="inlineStr">
        <is>
          <t>DEMO://documentos/FACTURA_DEMO_004.xml</t>
        </is>
      </c>
      <c r="N8" t="inlineStr">
        <is>
          <t>FACTURA_DEMO_004.xml</t>
        </is>
      </c>
      <c r="O8" t="inlineStr">
        <is>
          <t>XML</t>
        </is>
      </c>
      <c r="P8" s="41" t="n">
        <v>46283.59027777778</v>
      </c>
      <c r="Q8" t="inlineStr">
        <is>
          <t>XML</t>
        </is>
      </c>
      <c r="R8" t="n">
        <v>1</v>
      </c>
      <c r="S8" t="inlineStr">
        <is>
          <t>Factura ficticia de compra de activo.</t>
        </is>
      </c>
    </row>
    <row r="9">
      <c r="A9" t="inlineStr">
        <is>
          <t>DOC-DEMO-005</t>
        </is>
      </c>
      <c r="B9" s="41" t="n">
        <v>46286</v>
      </c>
      <c r="C9" t="inlineStr">
        <is>
          <t>Factura electronica</t>
        </is>
      </c>
      <c r="D9" t="inlineStr">
        <is>
          <t>FE-DEMO-005</t>
        </is>
      </c>
      <c r="E9" t="inlineStr">
        <is>
          <t>Nube Clara Demo S.A.S.</t>
        </is>
      </c>
      <c r="F9" t="inlineStr">
        <is>
          <t>900000003-4 (FICTICIO)</t>
        </is>
      </c>
      <c r="G9" s="42" t="n">
        <v>620000</v>
      </c>
      <c r="H9" s="42" t="n">
        <v>0</v>
      </c>
      <c r="I9" s="42" t="n">
        <v>0</v>
      </c>
      <c r="J9" s="42" t="n">
        <v>620000</v>
      </c>
      <c r="K9" t="inlineStr">
        <is>
          <t>CUFE-FICTICIO-DEMO-005</t>
        </is>
      </c>
      <c r="L9" t="inlineStr">
        <is>
          <t>Validado</t>
        </is>
      </c>
      <c r="M9" t="inlineStr">
        <is>
          <t>DEMO://documentos/FACTURA_DEMO_005.xml</t>
        </is>
      </c>
      <c r="N9" t="inlineStr">
        <is>
          <t>FACTURA_DEMO_005.xml</t>
        </is>
      </c>
      <c r="O9" t="inlineStr">
        <is>
          <t>XML</t>
        </is>
      </c>
      <c r="P9" s="41" t="n">
        <v>46286.36458333334</v>
      </c>
      <c r="Q9" t="inlineStr">
        <is>
          <t>XML</t>
        </is>
      </c>
      <c r="R9" t="n">
        <v>1</v>
      </c>
      <c r="S9" t="inlineStr">
        <is>
          <t>Factura ficticia relacionada con cuenta pendiente de pago.</t>
        </is>
      </c>
    </row>
    <row r="10">
      <c r="A10" t="inlineStr">
        <is>
          <t>DOC-DEMO-006</t>
        </is>
      </c>
      <c r="B10" s="41" t="n">
        <v>46288</v>
      </c>
      <c r="C10" t="inlineStr">
        <is>
          <t>Recibo</t>
        </is>
      </c>
      <c r="D10" t="inlineStr">
        <is>
          <t>RC-DEMO-006</t>
        </is>
      </c>
      <c r="E10" t="inlineStr">
        <is>
          <t>Nube Clara Demo S.A.S.</t>
        </is>
      </c>
      <c r="F10" t="inlineStr">
        <is>
          <t>900000003-4 (FICTICIO)</t>
        </is>
      </c>
      <c r="G10" s="42" t="n">
        <v>185000</v>
      </c>
      <c r="H10" s="42" t="n">
        <v>0</v>
      </c>
      <c r="I10" s="42" t="n">
        <v>0</v>
      </c>
      <c r="J10" s="42" t="n">
        <v>185000</v>
      </c>
      <c r="K10" t="inlineStr"/>
      <c r="L10" t="inlineStr">
        <is>
          <t>Revision Manual</t>
        </is>
      </c>
      <c r="M10" t="inlineStr">
        <is>
          <t>DEMO://documentos/RECIBO_DEMO_006.jpg</t>
        </is>
      </c>
      <c r="N10" t="inlineStr">
        <is>
          <t>RECIBO_DEMO_006.jpg</t>
        </is>
      </c>
      <c r="O10" t="inlineStr">
        <is>
          <t>JPG</t>
        </is>
      </c>
      <c r="P10" s="41" t="n">
        <v>46288.68055555555</v>
      </c>
      <c r="Q10" t="inlineStr">
        <is>
          <t>OCR simulado</t>
        </is>
      </c>
      <c r="R10" t="n">
        <v>0.64</v>
      </c>
      <c r="S10" t="inlineStr">
        <is>
          <t>Confianza baja en fecha y tercero: revisar el soporte antes de registrarlo.</t>
        </is>
      </c>
    </row>
    <row r="11">
      <c r="B11" s="41" t="n"/>
      <c r="G11" s="42" t="n"/>
      <c r="H11" s="42" t="n"/>
      <c r="I11" s="42" t="n"/>
      <c r="J11" s="42" t="n"/>
      <c r="P11" s="41" t="n"/>
    </row>
    <row r="12">
      <c r="B12" s="41" t="n"/>
      <c r="G12" s="42" t="n"/>
      <c r="H12" s="42" t="n"/>
      <c r="I12" s="42" t="n"/>
      <c r="J12" s="42" t="n"/>
      <c r="P12" s="41" t="n"/>
    </row>
    <row r="13">
      <c r="B13" s="41" t="n"/>
      <c r="G13" s="42" t="n"/>
      <c r="H13" s="42" t="n"/>
      <c r="I13" s="42" t="n"/>
      <c r="J13" s="42" t="n"/>
      <c r="P13" s="41" t="n"/>
    </row>
    <row r="14">
      <c r="B14" s="41" t="n"/>
      <c r="G14" s="42" t="n"/>
      <c r="H14" s="42" t="n"/>
      <c r="I14" s="42" t="n"/>
      <c r="J14" s="42" t="n"/>
      <c r="P14" s="41" t="n"/>
    </row>
    <row r="15">
      <c r="B15" s="41" t="n"/>
      <c r="G15" s="42" t="n"/>
      <c r="H15" s="42" t="n"/>
      <c r="I15" s="42" t="n"/>
      <c r="J15" s="42" t="n"/>
      <c r="P15" s="41" t="n"/>
    </row>
    <row r="16">
      <c r="B16" s="41" t="n"/>
      <c r="G16" s="42" t="n"/>
      <c r="H16" s="42" t="n"/>
      <c r="I16" s="42" t="n"/>
      <c r="J16" s="42" t="n"/>
      <c r="P16" s="41" t="n"/>
    </row>
    <row r="17">
      <c r="B17" s="41" t="n"/>
      <c r="G17" s="42" t="n"/>
      <c r="H17" s="42" t="n"/>
      <c r="I17" s="42" t="n"/>
      <c r="J17" s="42" t="n"/>
      <c r="P17" s="41" t="n"/>
    </row>
    <row r="18">
      <c r="B18" s="41" t="n"/>
      <c r="G18" s="42" t="n"/>
      <c r="H18" s="42" t="n"/>
      <c r="I18" s="42" t="n"/>
      <c r="J18" s="42" t="n"/>
      <c r="P18" s="41" t="n"/>
    </row>
    <row r="19">
      <c r="B19" s="41" t="n"/>
      <c r="G19" s="42" t="n"/>
      <c r="H19" s="42" t="n"/>
      <c r="I19" s="42" t="n"/>
      <c r="J19" s="42" t="n"/>
      <c r="P19" s="41" t="n"/>
    </row>
    <row r="20">
      <c r="B20" s="41" t="n"/>
      <c r="G20" s="42" t="n"/>
      <c r="H20" s="42" t="n"/>
      <c r="I20" s="42" t="n"/>
      <c r="J20" s="42" t="n"/>
      <c r="P20" s="41" t="n"/>
    </row>
    <row r="21">
      <c r="B21" s="41" t="n"/>
      <c r="G21" s="42" t="n"/>
      <c r="H21" s="42" t="n"/>
      <c r="I21" s="42" t="n"/>
      <c r="J21" s="42" t="n"/>
      <c r="P21" s="41" t="n"/>
    </row>
    <row r="22">
      <c r="B22" s="41" t="n"/>
      <c r="G22" s="42" t="n"/>
      <c r="H22" s="42" t="n"/>
      <c r="I22" s="42" t="n"/>
      <c r="J22" s="42" t="n"/>
      <c r="P22" s="41" t="n"/>
    </row>
    <row r="23">
      <c r="B23" s="41" t="n"/>
      <c r="G23" s="42" t="n"/>
      <c r="H23" s="42" t="n"/>
      <c r="I23" s="42" t="n"/>
      <c r="J23" s="42" t="n"/>
      <c r="P23" s="41" t="n"/>
    </row>
    <row r="24">
      <c r="B24" s="41" t="n"/>
      <c r="G24" s="42" t="n"/>
      <c r="H24" s="42" t="n"/>
      <c r="I24" s="42" t="n"/>
      <c r="J24" s="42" t="n"/>
      <c r="P24" s="41" t="n"/>
    </row>
    <row r="25">
      <c r="B25" s="41" t="n"/>
      <c r="G25" s="42" t="n"/>
      <c r="H25" s="42" t="n"/>
      <c r="I25" s="42" t="n"/>
      <c r="J25" s="42" t="n"/>
      <c r="P25" s="41" t="n"/>
    </row>
    <row r="26">
      <c r="B26" s="41" t="n"/>
      <c r="G26" s="42" t="n"/>
      <c r="H26" s="42" t="n"/>
      <c r="I26" s="42" t="n"/>
      <c r="J26" s="42" t="n"/>
      <c r="P26" s="41" t="n"/>
    </row>
    <row r="27">
      <c r="B27" s="41" t="n"/>
      <c r="G27" s="42" t="n"/>
      <c r="H27" s="42" t="n"/>
      <c r="I27" s="42" t="n"/>
      <c r="J27" s="42" t="n"/>
      <c r="P27" s="41" t="n"/>
    </row>
    <row r="28">
      <c r="B28" s="41" t="n"/>
      <c r="G28" s="42" t="n"/>
      <c r="H28" s="42" t="n"/>
      <c r="I28" s="42" t="n"/>
      <c r="J28" s="42" t="n"/>
      <c r="P28" s="41" t="n"/>
    </row>
    <row r="29">
      <c r="B29" s="41" t="n"/>
      <c r="G29" s="42" t="n"/>
      <c r="H29" s="42" t="n"/>
      <c r="I29" s="42" t="n"/>
      <c r="J29" s="42" t="n"/>
      <c r="P29" s="41" t="n"/>
    </row>
    <row r="30">
      <c r="B30" s="41" t="n"/>
      <c r="G30" s="42" t="n"/>
      <c r="H30" s="42" t="n"/>
      <c r="I30" s="42" t="n"/>
      <c r="J30" s="42" t="n"/>
      <c r="P30" s="41" t="n"/>
    </row>
    <row r="31">
      <c r="B31" s="41" t="n"/>
      <c r="G31" s="42" t="n"/>
      <c r="H31" s="42" t="n"/>
      <c r="I31" s="42" t="n"/>
      <c r="J31" s="42" t="n"/>
      <c r="P31" s="41" t="n"/>
    </row>
    <row r="32">
      <c r="B32" s="41" t="n"/>
      <c r="G32" s="42" t="n"/>
      <c r="H32" s="42" t="n"/>
      <c r="I32" s="42" t="n"/>
      <c r="J32" s="42" t="n"/>
      <c r="P32" s="41" t="n"/>
    </row>
    <row r="33">
      <c r="B33" s="41" t="n"/>
      <c r="G33" s="42" t="n"/>
      <c r="H33" s="42" t="n"/>
      <c r="I33" s="42" t="n"/>
      <c r="J33" s="42" t="n"/>
      <c r="P33" s="41" t="n"/>
    </row>
    <row r="34">
      <c r="B34" s="41" t="n"/>
      <c r="G34" s="42" t="n"/>
      <c r="H34" s="42" t="n"/>
      <c r="I34" s="42" t="n"/>
      <c r="J34" s="42" t="n"/>
      <c r="P34" s="41" t="n"/>
    </row>
    <row r="35">
      <c r="B35" s="41" t="n"/>
      <c r="G35" s="42" t="n"/>
      <c r="H35" s="42" t="n"/>
      <c r="I35" s="42" t="n"/>
      <c r="J35" s="42" t="n"/>
      <c r="P35" s="41" t="n"/>
    </row>
    <row r="36">
      <c r="B36" s="41" t="n"/>
      <c r="G36" s="42" t="n"/>
      <c r="H36" s="42" t="n"/>
      <c r="I36" s="42" t="n"/>
      <c r="J36" s="42" t="n"/>
      <c r="P36" s="41" t="n"/>
    </row>
    <row r="37">
      <c r="B37" s="41" t="n"/>
      <c r="G37" s="42" t="n"/>
      <c r="H37" s="42" t="n"/>
      <c r="I37" s="42" t="n"/>
      <c r="J37" s="42" t="n"/>
      <c r="P37" s="41" t="n"/>
    </row>
    <row r="38">
      <c r="B38" s="41" t="n"/>
      <c r="G38" s="42" t="n"/>
      <c r="H38" s="42" t="n"/>
      <c r="I38" s="42" t="n"/>
      <c r="J38" s="42" t="n"/>
      <c r="P38" s="41" t="n"/>
    </row>
    <row r="39">
      <c r="B39" s="41" t="n"/>
      <c r="G39" s="42" t="n"/>
      <c r="H39" s="42" t="n"/>
      <c r="I39" s="42" t="n"/>
      <c r="J39" s="42" t="n"/>
      <c r="P39" s="41" t="n"/>
    </row>
    <row r="40">
      <c r="B40" s="41" t="n"/>
      <c r="G40" s="42" t="n"/>
      <c r="H40" s="42" t="n"/>
      <c r="I40" s="42" t="n"/>
      <c r="J40" s="42" t="n"/>
      <c r="P40" s="41" t="n"/>
    </row>
    <row r="41">
      <c r="B41" s="41" t="n"/>
      <c r="G41" s="42" t="n"/>
      <c r="H41" s="42" t="n"/>
      <c r="I41" s="42" t="n"/>
      <c r="J41" s="42" t="n"/>
      <c r="P41" s="41" t="n"/>
    </row>
    <row r="42">
      <c r="B42" s="41" t="n"/>
      <c r="G42" s="42" t="n"/>
      <c r="H42" s="42" t="n"/>
      <c r="I42" s="42" t="n"/>
      <c r="J42" s="42" t="n"/>
      <c r="P42" s="41" t="n"/>
    </row>
    <row r="43">
      <c r="B43" s="41" t="n"/>
      <c r="G43" s="42" t="n"/>
      <c r="H43" s="42" t="n"/>
      <c r="I43" s="42" t="n"/>
      <c r="J43" s="42" t="n"/>
      <c r="P43" s="41" t="n"/>
    </row>
    <row r="44">
      <c r="B44" s="41" t="n"/>
      <c r="G44" s="42" t="n"/>
      <c r="H44" s="42" t="n"/>
      <c r="I44" s="42" t="n"/>
      <c r="J44" s="42" t="n"/>
      <c r="P44" s="41" t="n"/>
    </row>
  </sheetData>
  <conditionalFormatting sqref="L5:L10004">
    <cfRule type="expression" priority="1" dxfId="2">
      <formula>$L5="Duplicado"</formula>
    </cfRule>
    <cfRule type="expression" priority="2" dxfId="0">
      <formula>$L5="Error"</formula>
    </cfRule>
    <cfRule type="expression" priority="3" dxfId="1">
      <formula>$L5="Validado"</formula>
    </cfRule>
  </conditionalFormatting>
  <dataValidations count="5">
    <dataValidation sqref="C5:C10004" showDropDown="0" showInputMessage="0" showErrorMessage="0" allowBlank="1" type="list">
      <formula1>Lst_TipoDocumentoNombre</formula1>
    </dataValidation>
    <dataValidation sqref="L5:L10004" showDropDown="0" showInputMessage="0" showErrorMessage="0" allowBlank="1" type="list">
      <formula1>Lst_EstadoDocumento</formula1>
    </dataValidation>
    <dataValidation sqref="O5:O10004" showDropDown="0" showInputMessage="0" showErrorMessage="0" allowBlank="1" type="list">
      <formula1>Lst_TipoArchivo</formula1>
    </dataValidation>
    <dataValidation sqref="Q5:Q10004" showDropDown="0" showInputMessage="0" showErrorMessage="0" allowBlank="1" type="list">
      <formula1>Lst_MetodoExtraccion</formula1>
    </dataValidation>
    <dataValidation sqref="E5:E10004" showDropDown="0" showInputMessage="0" showErrorMessage="0" allowBlank="1" type="list">
      <formula1>Lst_TerceroNombre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2E7D32"/>
    <outlinePr summaryBelow="1" summaryRight="1"/>
    <pageSetUpPr/>
  </sheetPr>
  <dimension ref="A1:R6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3"/>
    <col width="15" customWidth="1" style="33" min="4" max="4"/>
    <col width="13" customWidth="1" style="33" min="5" max="5"/>
    <col width="12" customWidth="1" style="33" min="6" max="6"/>
    <col width="14" customWidth="1" style="33" min="7" max="7"/>
    <col width="15" customWidth="1" style="33" min="8" max="8"/>
    <col width="18" customWidth="1" style="33" min="9" max="9"/>
    <col width="15" customWidth="1" style="33" min="10" max="10"/>
    <col width="12" customWidth="1" style="33" min="11" max="11"/>
    <col width="14" customWidth="1" style="33" min="12" max="12"/>
    <col width="15" customWidth="1" style="33" min="13" max="13"/>
    <col width="17" customWidth="1" style="33" min="14" max="14"/>
    <col width="12" customWidth="1" style="33" min="15" max="16"/>
    <col width="15" customWidth="1" style="33" min="17" max="17"/>
    <col width="19" customWidth="1" style="33" min="18" max="18"/>
  </cols>
  <sheetData>
    <row r="1" ht="21" customHeight="1" s="33">
      <c r="A1" s="16" t="inlineStr">
        <is>
          <t>MOVIMIENTOS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P1" s="39" t="n"/>
      <c r="Q1" s="39" t="n"/>
      <c r="R1" s="39" t="n"/>
    </row>
    <row r="2">
      <c r="A2" s="18" t="inlineStr">
        <is>
          <t>Tabla principal: ingresos, gastos, compras, ventas y otros movimientos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P2" s="39" t="n"/>
      <c r="Q2" s="39" t="n"/>
      <c r="R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P3" s="39" t="n"/>
      <c r="Q3" s="39" t="n"/>
      <c r="R3" s="39" t="n"/>
    </row>
    <row r="4" ht="27.95" customHeight="1" s="33">
      <c r="A4" s="19" t="inlineStr">
        <is>
          <t>ID</t>
        </is>
      </c>
      <c r="B4" s="19" t="inlineStr">
        <is>
          <t>Fecha</t>
        </is>
      </c>
      <c r="C4" s="19" t="inlineStr">
        <is>
          <t>Tipo</t>
        </is>
      </c>
      <c r="D4" s="19" t="inlineStr">
        <is>
          <t>Documento</t>
        </is>
      </c>
      <c r="E4" s="19" t="inlineStr">
        <is>
          <t>Tercero</t>
        </is>
      </c>
      <c r="F4" s="19" t="inlineStr">
        <is>
          <t>NIT_ID</t>
        </is>
      </c>
      <c r="G4" s="19" t="inlineStr">
        <is>
          <t>Concepto</t>
        </is>
      </c>
      <c r="H4" s="19" t="inlineStr">
        <is>
          <t>Categoria</t>
        </is>
      </c>
      <c r="I4" s="19" t="inlineStr">
        <is>
          <t>Subcategoria</t>
        </is>
      </c>
      <c r="J4" s="19" t="inlineStr">
        <is>
          <t>MedioPago</t>
        </is>
      </c>
      <c r="K4" s="19" t="inlineStr">
        <is>
          <t>Cuenta</t>
        </is>
      </c>
      <c r="L4" s="19" t="inlineStr">
        <is>
          <t>Subtotal</t>
        </is>
      </c>
      <c r="M4" s="19" t="inlineStr">
        <is>
          <t>Impuestos</t>
        </is>
      </c>
      <c r="N4" s="19" t="inlineStr">
        <is>
          <t>Retenciones</t>
        </is>
      </c>
      <c r="O4" s="14" t="inlineStr">
        <is>
          <t>Total</t>
        </is>
      </c>
      <c r="P4" s="19" t="inlineStr">
        <is>
          <t>Estado</t>
        </is>
      </c>
      <c r="Q4" s="19" t="inlineStr">
        <is>
          <t>SoporteID</t>
        </is>
      </c>
      <c r="R4" s="19" t="inlineStr">
        <is>
          <t>Observaciones</t>
        </is>
      </c>
    </row>
    <row r="5">
      <c r="A5" s="39" t="inlineStr">
        <is>
          <t>MOV-DEMO-001</t>
        </is>
      </c>
      <c r="B5" s="43" t="n">
        <v>46273</v>
      </c>
      <c r="C5" s="39" t="inlineStr">
        <is>
          <t>Ingreso</t>
        </is>
      </c>
      <c r="D5" s="39" t="inlineStr">
        <is>
          <t>FV-DEMO-001</t>
        </is>
      </c>
      <c r="E5" s="39" t="inlineStr">
        <is>
          <t>Cliente Aurora Demo S.A.S.</t>
        </is>
      </c>
      <c r="F5" s="39" t="inlineStr">
        <is>
          <t>900000001-2 (FICTICIO)</t>
        </is>
      </c>
      <c r="G5" s="39" t="inlineStr">
        <is>
          <t>Servicio mensual de demostración</t>
        </is>
      </c>
      <c r="H5" s="39" t="inlineStr">
        <is>
          <t>Ventas</t>
        </is>
      </c>
      <c r="I5" s="39" t="inlineStr">
        <is>
          <t>Servicios</t>
        </is>
      </c>
      <c r="J5" s="39" t="inlineStr">
        <is>
          <t>Transferencia</t>
        </is>
      </c>
      <c r="K5" s="39" t="inlineStr">
        <is>
          <t>Banco Principal</t>
        </is>
      </c>
      <c r="L5" s="44" t="n">
        <v>4800000</v>
      </c>
      <c r="M5" s="44" t="n">
        <v>0</v>
      </c>
      <c r="N5" s="44" t="n">
        <v>0</v>
      </c>
      <c r="O5" s="24">
        <f>IF(L5="",0,L5+M5-N5)</f>
        <v/>
      </c>
      <c r="P5" s="39" t="inlineStr">
        <is>
          <t>Pagado</t>
        </is>
      </c>
      <c r="Q5" s="39" t="inlineStr">
        <is>
          <t>DOC-DEMO-001</t>
        </is>
      </c>
      <c r="R5" s="39" t="inlineStr">
        <is>
          <t>Operación completamente ficticia; valores sin cálculo tributario.</t>
        </is>
      </c>
    </row>
    <row r="6">
      <c r="A6" s="39" t="inlineStr">
        <is>
          <t>MOV-DEMO-002</t>
        </is>
      </c>
      <c r="B6" s="43" t="n">
        <v>46277</v>
      </c>
      <c r="C6" s="39" t="inlineStr">
        <is>
          <t>Venta</t>
        </is>
      </c>
      <c r="D6" s="39" t="inlineStr">
        <is>
          <t>FV-DEMO-002</t>
        </is>
      </c>
      <c r="E6" s="39" t="inlineStr">
        <is>
          <t>Cliente Aurora Demo S.A.S.</t>
        </is>
      </c>
      <c r="F6" s="39" t="inlineStr">
        <is>
          <t>900000001-2 (FICTICIO)</t>
        </is>
      </c>
      <c r="G6" s="39" t="inlineStr">
        <is>
          <t>Venta de productos de demostración</t>
        </is>
      </c>
      <c r="H6" s="39" t="inlineStr">
        <is>
          <t>Productos</t>
        </is>
      </c>
      <c r="I6" s="39" t="inlineStr">
        <is>
          <t>General</t>
        </is>
      </c>
      <c r="J6" s="39" t="inlineStr">
        <is>
          <t>Transferencia</t>
        </is>
      </c>
      <c r="K6" s="39" t="inlineStr">
        <is>
          <t>Cuentas por Cobrar</t>
        </is>
      </c>
      <c r="L6" s="44" t="n">
        <v>2150000</v>
      </c>
      <c r="M6" s="44" t="n">
        <v>0</v>
      </c>
      <c r="N6" s="44" t="n">
        <v>0</v>
      </c>
      <c r="O6" s="24">
        <f>IF(L6="",0,L6+M6-N6)</f>
        <v/>
      </c>
      <c r="P6" s="39" t="inlineStr">
        <is>
          <t>Pendiente</t>
        </is>
      </c>
      <c r="Q6" s="39" t="inlineStr">
        <is>
          <t>DOC-DEMO-002</t>
        </is>
      </c>
      <c r="R6" s="39" t="inlineStr">
        <is>
          <t>Saldo por cobrar de ejemplo.</t>
        </is>
      </c>
    </row>
    <row r="7">
      <c r="A7" s="39" t="inlineStr">
        <is>
          <t>MOV-DEMO-003</t>
        </is>
      </c>
      <c r="B7" s="43" t="n">
        <v>46275</v>
      </c>
      <c r="C7" s="39" t="inlineStr">
        <is>
          <t>Compra</t>
        </is>
      </c>
      <c r="D7" s="39" t="inlineStr">
        <is>
          <t>FC-DEMO-003</t>
        </is>
      </c>
      <c r="E7" s="39" t="inlineStr">
        <is>
          <t>Suministros Pacífico Demo S.A.S.</t>
        </is>
      </c>
      <c r="F7" s="39" t="inlineStr">
        <is>
          <t>900000002-3 (FICTICIO)</t>
        </is>
      </c>
      <c r="G7" s="39" t="inlineStr">
        <is>
          <t>Suministros de oficina de demostración</t>
        </is>
      </c>
      <c r="H7" s="39" t="inlineStr">
        <is>
          <t>Inventario</t>
        </is>
      </c>
      <c r="I7" s="39" t="inlineStr">
        <is>
          <t>Mercancia</t>
        </is>
      </c>
      <c r="J7" s="39" t="inlineStr">
        <is>
          <t>Transferencia</t>
        </is>
      </c>
      <c r="K7" s="39" t="inlineStr">
        <is>
          <t>Banco Principal</t>
        </is>
      </c>
      <c r="L7" s="44" t="n">
        <v>850000</v>
      </c>
      <c r="M7" s="44" t="n">
        <v>0</v>
      </c>
      <c r="N7" s="44" t="n">
        <v>0</v>
      </c>
      <c r="O7" s="24">
        <f>IF(L7="",0,L7+M7-N7)</f>
        <v/>
      </c>
      <c r="P7" s="39" t="inlineStr">
        <is>
          <t>Pagado</t>
        </is>
      </c>
      <c r="Q7" s="39" t="inlineStr">
        <is>
          <t>DOC-DEMO-003</t>
        </is>
      </c>
      <c r="R7" s="39" t="inlineStr">
        <is>
          <t>Operación completamente ficticia; valores sin cálculo tributario.</t>
        </is>
      </c>
    </row>
    <row r="8">
      <c r="A8" s="39" t="inlineStr">
        <is>
          <t>MOV-DEMO-004</t>
        </is>
      </c>
      <c r="B8" s="43" t="n">
        <v>46283</v>
      </c>
      <c r="C8" s="39" t="inlineStr">
        <is>
          <t>Compra</t>
        </is>
      </c>
      <c r="D8" s="39" t="inlineStr">
        <is>
          <t>FC-DEMO-004</t>
        </is>
      </c>
      <c r="E8" s="39" t="inlineStr">
        <is>
          <t>Suministros Pacífico Demo S.A.S.</t>
        </is>
      </c>
      <c r="F8" s="39" t="inlineStr">
        <is>
          <t>900000002-3 (FICTICIO)</t>
        </is>
      </c>
      <c r="G8" s="39" t="inlineStr">
        <is>
          <t>Equipo tecnológico de demostración</t>
        </is>
      </c>
      <c r="H8" s="39" t="inlineStr">
        <is>
          <t>Activos</t>
        </is>
      </c>
      <c r="I8" s="39" t="inlineStr">
        <is>
          <t>Tecnologia</t>
        </is>
      </c>
      <c r="J8" s="39" t="inlineStr">
        <is>
          <t>Transferencia</t>
        </is>
      </c>
      <c r="K8" s="39" t="inlineStr">
        <is>
          <t>Banco Principal</t>
        </is>
      </c>
      <c r="L8" s="44" t="n">
        <v>420000</v>
      </c>
      <c r="M8" s="44" t="n">
        <v>0</v>
      </c>
      <c r="N8" s="44" t="n">
        <v>0</v>
      </c>
      <c r="O8" s="24">
        <f>IF(L8="",0,L8+M8-N8)</f>
        <v/>
      </c>
      <c r="P8" s="39" t="inlineStr">
        <is>
          <t>Pagado</t>
        </is>
      </c>
      <c r="Q8" s="39" t="inlineStr">
        <is>
          <t>DOC-DEMO-004</t>
        </is>
      </c>
      <c r="R8" s="39" t="inlineStr">
        <is>
          <t>Operación completamente ficticia; valores sin cálculo tributario.</t>
        </is>
      </c>
    </row>
    <row r="9">
      <c r="A9" s="39" t="inlineStr">
        <is>
          <t>MOV-DEMO-005</t>
        </is>
      </c>
      <c r="B9" s="43" t="n">
        <v>46286</v>
      </c>
      <c r="C9" s="39" t="inlineStr">
        <is>
          <t>Gasto</t>
        </is>
      </c>
      <c r="D9" s="39" t="inlineStr">
        <is>
          <t>FE-DEMO-005</t>
        </is>
      </c>
      <c r="E9" s="39" t="inlineStr">
        <is>
          <t>Nube Clara Demo S.A.S.</t>
        </is>
      </c>
      <c r="F9" s="39" t="inlineStr">
        <is>
          <t>900000003-4 (FICTICIO)</t>
        </is>
      </c>
      <c r="G9" s="39" t="inlineStr">
        <is>
          <t>Suscripción de software de demostración</t>
        </is>
      </c>
      <c r="H9" s="39" t="inlineStr">
        <is>
          <t>Administracion</t>
        </is>
      </c>
      <c r="I9" s="39" t="inlineStr">
        <is>
          <t>Software</t>
        </is>
      </c>
      <c r="J9" s="39" t="inlineStr">
        <is>
          <t>Transferencia</t>
        </is>
      </c>
      <c r="K9" s="39" t="inlineStr">
        <is>
          <t>Cuentas por Pagar</t>
        </is>
      </c>
      <c r="L9" s="44" t="n">
        <v>620000</v>
      </c>
      <c r="M9" s="44" t="n">
        <v>0</v>
      </c>
      <c r="N9" s="44" t="n">
        <v>0</v>
      </c>
      <c r="O9" s="24">
        <f>IF(L9="",0,L9+M9-N9)</f>
        <v/>
      </c>
      <c r="P9" s="39" t="inlineStr">
        <is>
          <t>Pendiente</t>
        </is>
      </c>
      <c r="Q9" s="39" t="inlineStr">
        <is>
          <t>DOC-DEMO-005</t>
        </is>
      </c>
      <c r="R9" s="39" t="inlineStr">
        <is>
          <t>Saldo por pagar de ejemplo.</t>
        </is>
      </c>
    </row>
    <row r="10">
      <c r="A10" s="39" t="n"/>
      <c r="B10" s="43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4" t="n"/>
      <c r="M10" s="44" t="n"/>
      <c r="N10" s="44" t="n"/>
      <c r="O10" s="24">
        <f>IF(L10="",0,L10+M10-N10)</f>
        <v/>
      </c>
      <c r="P10" s="39" t="n"/>
      <c r="Q10" s="39" t="n"/>
      <c r="R10" s="39" t="n"/>
    </row>
    <row r="11">
      <c r="A11" s="39" t="n"/>
      <c r="B11" s="43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4" t="n"/>
      <c r="M11" s="44" t="n"/>
      <c r="N11" s="44" t="n"/>
      <c r="O11" s="24">
        <f>IF(L11="",0,L11+M11-N11)</f>
        <v/>
      </c>
      <c r="P11" s="39" t="n"/>
      <c r="Q11" s="39" t="n"/>
      <c r="R11" s="39" t="n"/>
    </row>
    <row r="12">
      <c r="A12" s="39" t="n"/>
      <c r="B12" s="43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4" t="n"/>
      <c r="M12" s="44" t="n"/>
      <c r="N12" s="44" t="n"/>
      <c r="O12" s="24">
        <f>IF(L12="",0,L12+M12-N12)</f>
        <v/>
      </c>
      <c r="P12" s="39" t="n"/>
      <c r="Q12" s="39" t="n"/>
      <c r="R12" s="39" t="n"/>
    </row>
    <row r="13">
      <c r="A13" s="39" t="n"/>
      <c r="B13" s="43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44" t="n"/>
      <c r="M13" s="44" t="n"/>
      <c r="N13" s="44" t="n"/>
      <c r="O13" s="24">
        <f>IF(L13="",0,L13+M13-N13)</f>
        <v/>
      </c>
      <c r="P13" s="39" t="n"/>
      <c r="Q13" s="39" t="n"/>
      <c r="R13" s="39" t="n"/>
    </row>
    <row r="14">
      <c r="A14" s="39" t="n"/>
      <c r="B14" s="43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44" t="n"/>
      <c r="M14" s="44" t="n"/>
      <c r="N14" s="44" t="n"/>
      <c r="O14" s="24">
        <f>IF(L14="",0,L14+M14-N14)</f>
        <v/>
      </c>
      <c r="P14" s="39" t="n"/>
      <c r="Q14" s="39" t="n"/>
      <c r="R14" s="39" t="n"/>
    </row>
    <row r="15">
      <c r="A15" s="39" t="n"/>
      <c r="B15" s="43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44" t="n"/>
      <c r="M15" s="44" t="n"/>
      <c r="N15" s="44" t="n"/>
      <c r="O15" s="24">
        <f>IF(L15="",0,L15+M15-N15)</f>
        <v/>
      </c>
      <c r="P15" s="39" t="n"/>
      <c r="Q15" s="39" t="n"/>
      <c r="R15" s="39" t="n"/>
    </row>
    <row r="16">
      <c r="A16" s="39" t="n"/>
      <c r="B16" s="43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4" t="n"/>
      <c r="M16" s="44" t="n"/>
      <c r="N16" s="44" t="n"/>
      <c r="O16" s="24">
        <f>IF(L16="",0,L16+M16-N16)</f>
        <v/>
      </c>
      <c r="P16" s="39" t="n"/>
      <c r="Q16" s="39" t="n"/>
      <c r="R16" s="39" t="n"/>
    </row>
    <row r="17">
      <c r="A17" s="39" t="n"/>
      <c r="B17" s="43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44" t="n"/>
      <c r="M17" s="44" t="n"/>
      <c r="N17" s="44" t="n"/>
      <c r="O17" s="24">
        <f>IF(L17="",0,L17+M17-N17)</f>
        <v/>
      </c>
      <c r="P17" s="39" t="n"/>
      <c r="Q17" s="39" t="n"/>
      <c r="R17" s="39" t="n"/>
    </row>
    <row r="18">
      <c r="A18" s="39" t="n"/>
      <c r="B18" s="43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44" t="n"/>
      <c r="M18" s="44" t="n"/>
      <c r="N18" s="44" t="n"/>
      <c r="O18" s="24">
        <f>IF(L18="",0,L18+M18-N18)</f>
        <v/>
      </c>
      <c r="P18" s="39" t="n"/>
      <c r="Q18" s="39" t="n"/>
      <c r="R18" s="39" t="n"/>
    </row>
    <row r="19">
      <c r="A19" s="39" t="n"/>
      <c r="B19" s="43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44" t="n"/>
      <c r="M19" s="44" t="n"/>
      <c r="N19" s="44" t="n"/>
      <c r="O19" s="24">
        <f>IF(L19="",0,L19+M19-N19)</f>
        <v/>
      </c>
      <c r="P19" s="39" t="n"/>
      <c r="Q19" s="39" t="n"/>
      <c r="R19" s="39" t="n"/>
    </row>
    <row r="20">
      <c r="A20" s="39" t="n"/>
      <c r="B20" s="43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44" t="n"/>
      <c r="M20" s="44" t="n"/>
      <c r="N20" s="44" t="n"/>
      <c r="O20" s="24">
        <f>IF(L20="",0,L20+M20-N20)</f>
        <v/>
      </c>
      <c r="P20" s="39" t="n"/>
      <c r="Q20" s="39" t="n"/>
      <c r="R20" s="39" t="n"/>
    </row>
    <row r="21">
      <c r="A21" s="39" t="n"/>
      <c r="B21" s="43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44" t="n"/>
      <c r="M21" s="44" t="n"/>
      <c r="N21" s="44" t="n"/>
      <c r="O21" s="24">
        <f>IF(L21="",0,L21+M21-N21)</f>
        <v/>
      </c>
      <c r="P21" s="39" t="n"/>
      <c r="Q21" s="39" t="n"/>
      <c r="R21" s="39" t="n"/>
    </row>
    <row r="22">
      <c r="A22" s="39" t="n"/>
      <c r="B22" s="43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44" t="n"/>
      <c r="M22" s="44" t="n"/>
      <c r="N22" s="44" t="n"/>
      <c r="O22" s="24">
        <f>IF(L22="",0,L22+M22-N22)</f>
        <v/>
      </c>
      <c r="P22" s="39" t="n"/>
      <c r="Q22" s="39" t="n"/>
      <c r="R22" s="39" t="n"/>
    </row>
    <row r="23">
      <c r="A23" s="39" t="n"/>
      <c r="B23" s="43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44" t="n"/>
      <c r="M23" s="44" t="n"/>
      <c r="N23" s="44" t="n"/>
      <c r="O23" s="24">
        <f>IF(L23="",0,L23+M23-N23)</f>
        <v/>
      </c>
      <c r="P23" s="39" t="n"/>
      <c r="Q23" s="39" t="n"/>
      <c r="R23" s="39" t="n"/>
    </row>
    <row r="24">
      <c r="A24" s="39" t="n"/>
      <c r="B24" s="43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44" t="n"/>
      <c r="M24" s="44" t="n"/>
      <c r="N24" s="44" t="n"/>
      <c r="O24" s="24">
        <f>IF(L24="",0,L24+M24-N24)</f>
        <v/>
      </c>
      <c r="P24" s="39" t="n"/>
      <c r="Q24" s="39" t="n"/>
      <c r="R24" s="39" t="n"/>
    </row>
    <row r="25">
      <c r="A25" s="39" t="n"/>
      <c r="B25" s="43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44" t="n"/>
      <c r="M25" s="44" t="n"/>
      <c r="N25" s="44" t="n"/>
      <c r="O25" s="24">
        <f>IF(L25="",0,L25+M25-N25)</f>
        <v/>
      </c>
      <c r="P25" s="39" t="n"/>
      <c r="Q25" s="39" t="n"/>
      <c r="R25" s="39" t="n"/>
    </row>
    <row r="26">
      <c r="A26" s="39" t="n"/>
      <c r="B26" s="43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44" t="n"/>
      <c r="M26" s="44" t="n"/>
      <c r="N26" s="44" t="n"/>
      <c r="O26" s="24">
        <f>IF(L26="",0,L26+M26-N26)</f>
        <v/>
      </c>
      <c r="P26" s="39" t="n"/>
      <c r="Q26" s="39" t="n"/>
      <c r="R26" s="39" t="n"/>
    </row>
    <row r="27">
      <c r="A27" s="39" t="n"/>
      <c r="B27" s="43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44" t="n"/>
      <c r="M27" s="44" t="n"/>
      <c r="N27" s="44" t="n"/>
      <c r="O27" s="24">
        <f>IF(L27="",0,L27+M27-N27)</f>
        <v/>
      </c>
      <c r="P27" s="39" t="n"/>
      <c r="Q27" s="39" t="n"/>
      <c r="R27" s="39" t="n"/>
    </row>
    <row r="28">
      <c r="A28" s="39" t="n"/>
      <c r="B28" s="43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44" t="n"/>
      <c r="M28" s="44" t="n"/>
      <c r="N28" s="44" t="n"/>
      <c r="O28" s="24">
        <f>IF(L28="",0,L28+M28-N28)</f>
        <v/>
      </c>
      <c r="P28" s="39" t="n"/>
      <c r="Q28" s="39" t="n"/>
      <c r="R28" s="39" t="n"/>
    </row>
    <row r="29">
      <c r="A29" s="39" t="n"/>
      <c r="B29" s="43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44" t="n"/>
      <c r="M29" s="44" t="n"/>
      <c r="N29" s="44" t="n"/>
      <c r="O29" s="24">
        <f>IF(L29="",0,L29+M29-N29)</f>
        <v/>
      </c>
      <c r="P29" s="39" t="n"/>
      <c r="Q29" s="39" t="n"/>
      <c r="R29" s="39" t="n"/>
    </row>
    <row r="30">
      <c r="A30" s="39" t="n"/>
      <c r="B30" s="43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44" t="n"/>
      <c r="M30" s="44" t="n"/>
      <c r="N30" s="44" t="n"/>
      <c r="O30" s="24">
        <f>IF(L30="",0,L30+M30-N30)</f>
        <v/>
      </c>
      <c r="P30" s="39" t="n"/>
      <c r="Q30" s="39" t="n"/>
      <c r="R30" s="39" t="n"/>
    </row>
    <row r="31">
      <c r="A31" s="39" t="n"/>
      <c r="B31" s="43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44" t="n"/>
      <c r="M31" s="44" t="n"/>
      <c r="N31" s="44" t="n"/>
      <c r="O31" s="24">
        <f>IF(L31="",0,L31+M31-N31)</f>
        <v/>
      </c>
      <c r="P31" s="39" t="n"/>
      <c r="Q31" s="39" t="n"/>
      <c r="R31" s="39" t="n"/>
    </row>
    <row r="32">
      <c r="A32" s="39" t="n"/>
      <c r="B32" s="43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44" t="n"/>
      <c r="M32" s="44" t="n"/>
      <c r="N32" s="44" t="n"/>
      <c r="O32" s="24">
        <f>IF(L32="",0,L32+M32-N32)</f>
        <v/>
      </c>
      <c r="P32" s="39" t="n"/>
      <c r="Q32" s="39" t="n"/>
      <c r="R32" s="39" t="n"/>
    </row>
    <row r="33">
      <c r="A33" s="39" t="n"/>
      <c r="B33" s="43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44" t="n"/>
      <c r="M33" s="44" t="n"/>
      <c r="N33" s="44" t="n"/>
      <c r="O33" s="24">
        <f>IF(L33="",0,L33+M33-N33)</f>
        <v/>
      </c>
      <c r="P33" s="39" t="n"/>
      <c r="Q33" s="39" t="n"/>
      <c r="R33" s="39" t="n"/>
    </row>
    <row r="34">
      <c r="A34" s="39" t="n"/>
      <c r="B34" s="43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44" t="n"/>
      <c r="M34" s="44" t="n"/>
      <c r="N34" s="44" t="n"/>
      <c r="O34" s="24">
        <f>IF(L34="",0,L34+M34-N34)</f>
        <v/>
      </c>
      <c r="P34" s="39" t="n"/>
      <c r="Q34" s="39" t="n"/>
      <c r="R34" s="39" t="n"/>
    </row>
    <row r="35">
      <c r="A35" s="39" t="n"/>
      <c r="B35" s="43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44" t="n"/>
      <c r="M35" s="44" t="n"/>
      <c r="N35" s="44" t="n"/>
      <c r="O35" s="24">
        <f>IF(L35="",0,L35+M35-N35)</f>
        <v/>
      </c>
      <c r="P35" s="39" t="n"/>
      <c r="Q35" s="39" t="n"/>
      <c r="R35" s="39" t="n"/>
    </row>
    <row r="36">
      <c r="A36" s="39" t="n"/>
      <c r="B36" s="43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44" t="n"/>
      <c r="M36" s="44" t="n"/>
      <c r="N36" s="44" t="n"/>
      <c r="O36" s="24">
        <f>IF(L36="",0,L36+M36-N36)</f>
        <v/>
      </c>
      <c r="P36" s="39" t="n"/>
      <c r="Q36" s="39" t="n"/>
      <c r="R36" s="39" t="n"/>
    </row>
    <row r="37">
      <c r="A37" s="39" t="n"/>
      <c r="B37" s="43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44" t="n"/>
      <c r="M37" s="44" t="n"/>
      <c r="N37" s="44" t="n"/>
      <c r="O37" s="24">
        <f>IF(L37="",0,L37+M37-N37)</f>
        <v/>
      </c>
      <c r="P37" s="39" t="n"/>
      <c r="Q37" s="39" t="n"/>
      <c r="R37" s="39" t="n"/>
    </row>
    <row r="38">
      <c r="A38" s="39" t="n"/>
      <c r="B38" s="43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44" t="n"/>
      <c r="M38" s="44" t="n"/>
      <c r="N38" s="44" t="n"/>
      <c r="O38" s="24">
        <f>IF(L38="",0,L38+M38-N38)</f>
        <v/>
      </c>
      <c r="P38" s="39" t="n"/>
      <c r="Q38" s="39" t="n"/>
      <c r="R38" s="39" t="n"/>
    </row>
    <row r="39">
      <c r="A39" s="39" t="n"/>
      <c r="B39" s="43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44" t="n"/>
      <c r="M39" s="44" t="n"/>
      <c r="N39" s="44" t="n"/>
      <c r="O39" s="24">
        <f>IF(L39="",0,L39+M39-N39)</f>
        <v/>
      </c>
      <c r="P39" s="39" t="n"/>
      <c r="Q39" s="39" t="n"/>
      <c r="R39" s="39" t="n"/>
    </row>
    <row r="40">
      <c r="A40" s="39" t="n"/>
      <c r="B40" s="43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44" t="n"/>
      <c r="M40" s="44" t="n"/>
      <c r="N40" s="44" t="n"/>
      <c r="O40" s="24">
        <f>IF(L40="",0,L40+M40-N40)</f>
        <v/>
      </c>
      <c r="P40" s="39" t="n"/>
      <c r="Q40" s="39" t="n"/>
      <c r="R40" s="39" t="n"/>
    </row>
    <row r="41">
      <c r="A41" s="39" t="n"/>
      <c r="B41" s="43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44" t="n"/>
      <c r="M41" s="44" t="n"/>
      <c r="N41" s="44" t="n"/>
      <c r="O41" s="24">
        <f>IF(L41="",0,L41+M41-N41)</f>
        <v/>
      </c>
      <c r="P41" s="39" t="n"/>
      <c r="Q41" s="39" t="n"/>
      <c r="R41" s="39" t="n"/>
    </row>
    <row r="42">
      <c r="A42" s="39" t="n"/>
      <c r="B42" s="43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44" t="n"/>
      <c r="M42" s="44" t="n"/>
      <c r="N42" s="44" t="n"/>
      <c r="O42" s="24">
        <f>IF(L42="",0,L42+M42-N42)</f>
        <v/>
      </c>
      <c r="P42" s="39" t="n"/>
      <c r="Q42" s="39" t="n"/>
      <c r="R42" s="39" t="n"/>
    </row>
    <row r="43">
      <c r="A43" s="39" t="n"/>
      <c r="B43" s="43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44" t="n"/>
      <c r="M43" s="44" t="n"/>
      <c r="N43" s="44" t="n"/>
      <c r="O43" s="24">
        <f>IF(L43="",0,L43+M43-N43)</f>
        <v/>
      </c>
      <c r="P43" s="39" t="n"/>
      <c r="Q43" s="39" t="n"/>
      <c r="R43" s="39" t="n"/>
    </row>
    <row r="44">
      <c r="A44" s="39" t="n"/>
      <c r="B44" s="43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44" t="n"/>
      <c r="M44" s="44" t="n"/>
      <c r="N44" s="44" t="n"/>
      <c r="O44" s="24">
        <f>IF(L44="",0,L44+M44-N44)</f>
        <v/>
      </c>
      <c r="P44" s="39" t="n"/>
      <c r="Q44" s="39" t="n"/>
      <c r="R44" s="39" t="n"/>
    </row>
    <row r="45">
      <c r="A45" s="39" t="n"/>
      <c r="B45" s="43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44" t="n"/>
      <c r="M45" s="44" t="n"/>
      <c r="N45" s="44" t="n"/>
      <c r="O45" s="24">
        <f>IF(L45="",0,L45+M45-N45)</f>
        <v/>
      </c>
      <c r="P45" s="39" t="n"/>
      <c r="Q45" s="39" t="n"/>
      <c r="R45" s="39" t="n"/>
    </row>
    <row r="46">
      <c r="A46" s="39" t="n"/>
      <c r="B46" s="43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44" t="n"/>
      <c r="M46" s="44" t="n"/>
      <c r="N46" s="44" t="n"/>
      <c r="O46" s="24">
        <f>IF(L46="",0,L46+M46-N46)</f>
        <v/>
      </c>
      <c r="P46" s="39" t="n"/>
      <c r="Q46" s="39" t="n"/>
      <c r="R46" s="39" t="n"/>
    </row>
    <row r="47">
      <c r="A47" s="39" t="n"/>
      <c r="B47" s="43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44" t="n"/>
      <c r="M47" s="44" t="n"/>
      <c r="N47" s="44" t="n"/>
      <c r="O47" s="24">
        <f>IF(L47="",0,L47+M47-N47)</f>
        <v/>
      </c>
      <c r="P47" s="39" t="n"/>
      <c r="Q47" s="39" t="n"/>
      <c r="R47" s="39" t="n"/>
    </row>
    <row r="48">
      <c r="A48" s="39" t="n"/>
      <c r="B48" s="43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44" t="n"/>
      <c r="M48" s="44" t="n"/>
      <c r="N48" s="44" t="n"/>
      <c r="O48" s="24">
        <f>IF(L48="",0,L48+M48-N48)</f>
        <v/>
      </c>
      <c r="P48" s="39" t="n"/>
      <c r="Q48" s="39" t="n"/>
      <c r="R48" s="39" t="n"/>
    </row>
    <row r="49">
      <c r="A49" s="39" t="n"/>
      <c r="B49" s="43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44" t="n"/>
      <c r="M49" s="44" t="n"/>
      <c r="N49" s="44" t="n"/>
      <c r="O49" s="24">
        <f>IF(L49="",0,L49+M49-N49)</f>
        <v/>
      </c>
      <c r="P49" s="39" t="n"/>
      <c r="Q49" s="39" t="n"/>
      <c r="R49" s="39" t="n"/>
    </row>
    <row r="50">
      <c r="A50" s="39" t="n"/>
      <c r="B50" s="43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44" t="n"/>
      <c r="M50" s="44" t="n"/>
      <c r="N50" s="44" t="n"/>
      <c r="O50" s="24">
        <f>IF(L50="",0,L50+M50-N50)</f>
        <v/>
      </c>
      <c r="P50" s="39" t="n"/>
      <c r="Q50" s="39" t="n"/>
      <c r="R50" s="39" t="n"/>
    </row>
    <row r="51">
      <c r="A51" s="39" t="n"/>
      <c r="B51" s="43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44" t="n"/>
      <c r="M51" s="44" t="n"/>
      <c r="N51" s="44" t="n"/>
      <c r="O51" s="24">
        <f>IF(L51="",0,L51+M51-N51)</f>
        <v/>
      </c>
      <c r="P51" s="39" t="n"/>
      <c r="Q51" s="39" t="n"/>
      <c r="R51" s="39" t="n"/>
    </row>
    <row r="52">
      <c r="A52" s="39" t="n"/>
      <c r="B52" s="43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44" t="n"/>
      <c r="M52" s="44" t="n"/>
      <c r="N52" s="44" t="n"/>
      <c r="O52" s="24">
        <f>IF(L52="",0,L52+M52-N52)</f>
        <v/>
      </c>
      <c r="P52" s="39" t="n"/>
      <c r="Q52" s="39" t="n"/>
      <c r="R52" s="39" t="n"/>
    </row>
    <row r="53">
      <c r="A53" s="39" t="n"/>
      <c r="B53" s="43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44" t="n"/>
      <c r="M53" s="44" t="n"/>
      <c r="N53" s="44" t="n"/>
      <c r="O53" s="24">
        <f>IF(L53="",0,L53+M53-N53)</f>
        <v/>
      </c>
      <c r="P53" s="39" t="n"/>
      <c r="Q53" s="39" t="n"/>
      <c r="R53" s="39" t="n"/>
    </row>
    <row r="54">
      <c r="A54" s="39" t="n"/>
      <c r="B54" s="43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44" t="n"/>
      <c r="M54" s="44" t="n"/>
      <c r="N54" s="44" t="n"/>
      <c r="O54" s="24">
        <f>IF(L54="",0,L54+M54-N54)</f>
        <v/>
      </c>
      <c r="P54" s="39" t="n"/>
      <c r="Q54" s="39" t="n"/>
      <c r="R54" s="39" t="n"/>
    </row>
    <row r="55">
      <c r="A55" s="39" t="n"/>
      <c r="B55" s="43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44" t="n"/>
      <c r="M55" s="44" t="n"/>
      <c r="N55" s="44" t="n"/>
      <c r="O55" s="24">
        <f>IF(L55="",0,L55+M55-N55)</f>
        <v/>
      </c>
      <c r="P55" s="39" t="n"/>
      <c r="Q55" s="39" t="n"/>
      <c r="R55" s="39" t="n"/>
    </row>
    <row r="56">
      <c r="A56" s="39" t="n"/>
      <c r="B56" s="43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44" t="n"/>
      <c r="M56" s="44" t="n"/>
      <c r="N56" s="44" t="n"/>
      <c r="O56" s="24">
        <f>IF(L56="",0,L56+M56-N56)</f>
        <v/>
      </c>
      <c r="P56" s="39" t="n"/>
      <c r="Q56" s="39" t="n"/>
      <c r="R56" s="39" t="n"/>
    </row>
    <row r="57">
      <c r="A57" s="39" t="n"/>
      <c r="B57" s="43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44" t="n"/>
      <c r="M57" s="44" t="n"/>
      <c r="N57" s="44" t="n"/>
      <c r="O57" s="24">
        <f>IF(L57="",0,L57+M57-N57)</f>
        <v/>
      </c>
      <c r="P57" s="39" t="n"/>
      <c r="Q57" s="39" t="n"/>
      <c r="R57" s="39" t="n"/>
    </row>
    <row r="58">
      <c r="A58" s="39" t="n"/>
      <c r="B58" s="43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44" t="n"/>
      <c r="M58" s="44" t="n"/>
      <c r="N58" s="44" t="n"/>
      <c r="O58" s="24">
        <f>IF(L58="",0,L58+M58-N58)</f>
        <v/>
      </c>
      <c r="P58" s="39" t="n"/>
      <c r="Q58" s="39" t="n"/>
      <c r="R58" s="39" t="n"/>
    </row>
    <row r="59">
      <c r="A59" s="39" t="n"/>
      <c r="B59" s="43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44" t="n"/>
      <c r="M59" s="44" t="n"/>
      <c r="N59" s="44" t="n"/>
      <c r="O59" s="24">
        <f>IF(L59="",0,L59+M59-N59)</f>
        <v/>
      </c>
      <c r="P59" s="39" t="n"/>
      <c r="Q59" s="39" t="n"/>
      <c r="R59" s="39" t="n"/>
    </row>
    <row r="60">
      <c r="A60" s="39" t="n"/>
      <c r="B60" s="43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44" t="n"/>
      <c r="M60" s="44" t="n"/>
      <c r="N60" s="44" t="n"/>
      <c r="O60" s="24">
        <f>IF(L60="",0,L60+M60-N60)</f>
        <v/>
      </c>
      <c r="P60" s="39" t="n"/>
      <c r="Q60" s="39" t="n"/>
      <c r="R60" s="39" t="n"/>
    </row>
    <row r="61">
      <c r="A61" s="39" t="n"/>
      <c r="B61" s="43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44" t="n"/>
      <c r="M61" s="44" t="n"/>
      <c r="N61" s="44" t="n"/>
      <c r="O61" s="24">
        <f>IF(L61="",0,L61+M61-N61)</f>
        <v/>
      </c>
      <c r="P61" s="39" t="n"/>
      <c r="Q61" s="39" t="n"/>
      <c r="R61" s="39" t="n"/>
    </row>
    <row r="62">
      <c r="A62" s="39" t="n"/>
      <c r="B62" s="43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44" t="n"/>
      <c r="M62" s="44" t="n"/>
      <c r="N62" s="44" t="n"/>
      <c r="O62" s="24">
        <f>IF(L62="",0,L62+M62-N62)</f>
        <v/>
      </c>
      <c r="P62" s="39" t="n"/>
      <c r="Q62" s="39" t="n"/>
      <c r="R62" s="39" t="n"/>
    </row>
    <row r="63">
      <c r="A63" s="39" t="n"/>
      <c r="B63" s="43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44" t="n"/>
      <c r="M63" s="44" t="n"/>
      <c r="N63" s="44" t="n"/>
      <c r="O63" s="24">
        <f>IF(L63="",0,L63+M63-N63)</f>
        <v/>
      </c>
      <c r="P63" s="39" t="n"/>
      <c r="Q63" s="39" t="n"/>
      <c r="R63" s="39" t="n"/>
    </row>
    <row r="64">
      <c r="A64" s="39" t="n"/>
      <c r="B64" s="43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44" t="n"/>
      <c r="M64" s="44" t="n"/>
      <c r="N64" s="44" t="n"/>
      <c r="O64" s="24">
        <f>IF(L64="",0,L64+M64-N64)</f>
        <v/>
      </c>
      <c r="P64" s="39" t="n"/>
      <c r="Q64" s="39" t="n"/>
      <c r="R64" s="39" t="n"/>
    </row>
  </sheetData>
  <conditionalFormatting sqref="P5:P10004">
    <cfRule type="expression" priority="1" dxfId="0">
      <formula>$P5="Pendiente"</formula>
    </cfRule>
    <cfRule type="expression" priority="2" dxfId="2">
      <formula>$P5="Anulado"</formula>
    </cfRule>
  </conditionalFormatting>
  <dataValidations count="6">
    <dataValidation sqref="C5:C10004" showDropDown="0" showInputMessage="0" showErrorMessage="0" allowBlank="1" type="list">
      <formula1>Lst_TipoMovimiento</formula1>
    </dataValidation>
    <dataValidation sqref="H5:H10004" showDropDown="0" showInputMessage="0" showErrorMessage="0" allowBlank="1" type="list">
      <formula1>Lst_Categoria</formula1>
    </dataValidation>
    <dataValidation sqref="J5:J10004" showDropDown="0" showInputMessage="0" showErrorMessage="0" allowBlank="1" type="list">
      <formula1>Lst_MedioPago</formula1>
    </dataValidation>
    <dataValidation sqref="K5:K10004" showDropDown="0" showInputMessage="0" showErrorMessage="0" allowBlank="1" type="list">
      <formula1>Lst_Cuenta</formula1>
    </dataValidation>
    <dataValidation sqref="P5:P10004" showDropDown="0" showInputMessage="0" showErrorMessage="0" allowBlank="1" type="list">
      <formula1>Lst_EstadoMovimiento</formula1>
    </dataValidation>
    <dataValidation sqref="E5:E10004" showDropDown="0" showInputMessage="0" showErrorMessage="0" allowBlank="1" type="list">
      <formula1>Lst_TerceroNombre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2E7D32"/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2"/>
    <col width="18" customWidth="1" style="33" min="3" max="3"/>
    <col width="13" customWidth="1" style="33" min="4" max="4"/>
    <col width="12" customWidth="1" style="33" min="5" max="5"/>
    <col width="15" customWidth="1" style="33" min="6" max="6"/>
    <col width="17" customWidth="1" style="33" min="7" max="7"/>
    <col width="12" customWidth="1" style="33" min="8" max="8"/>
    <col width="19" customWidth="1" style="33" min="9" max="9"/>
  </cols>
  <sheetData>
    <row r="1" ht="21" customHeight="1" s="33">
      <c r="A1" s="1" t="inlineStr">
        <is>
          <t>PAGOS</t>
        </is>
      </c>
    </row>
    <row r="2">
      <c r="A2" s="2" t="inlineStr">
        <is>
          <t>Salidas de caja aplicadas contra movimientos de Gasto/Compra (permite pagos parciales)</t>
        </is>
      </c>
    </row>
    <row r="4" ht="27.95" customHeight="1" s="33">
      <c r="A4" s="14" t="inlineStr">
        <is>
          <t>ID</t>
        </is>
      </c>
      <c r="B4" s="14" t="inlineStr">
        <is>
          <t>Fecha</t>
        </is>
      </c>
      <c r="C4" s="14" t="inlineStr">
        <is>
          <t>MovimientoID</t>
        </is>
      </c>
      <c r="D4" s="14" t="inlineStr">
        <is>
          <t>Tercero</t>
        </is>
      </c>
      <c r="E4" s="14" t="inlineStr">
        <is>
          <t>Cuenta</t>
        </is>
      </c>
      <c r="F4" s="14" t="inlineStr">
        <is>
          <t>MedioPago</t>
        </is>
      </c>
      <c r="G4" s="14" t="inlineStr">
        <is>
          <t>ValorPagado</t>
        </is>
      </c>
      <c r="H4" s="14" t="inlineStr">
        <is>
          <t>Estado</t>
        </is>
      </c>
      <c r="I4" s="14" t="inlineStr">
        <is>
          <t>Observaciones</t>
        </is>
      </c>
    </row>
    <row r="5">
      <c r="A5" t="inlineStr">
        <is>
          <t>PAG-DEMO-001</t>
        </is>
      </c>
      <c r="B5" s="41" t="n">
        <v>46275</v>
      </c>
      <c r="C5" t="inlineStr">
        <is>
          <t>MOV-DEMO-003</t>
        </is>
      </c>
      <c r="D5" t="inlineStr">
        <is>
          <t>Suministros Pacífico Demo S.A.S.</t>
        </is>
      </c>
      <c r="E5" t="inlineStr">
        <is>
          <t>Banco Principal</t>
        </is>
      </c>
      <c r="F5" t="inlineStr">
        <is>
          <t>Transferencia</t>
        </is>
      </c>
      <c r="G5" s="42" t="n">
        <v>850000</v>
      </c>
      <c r="H5" t="inlineStr">
        <is>
          <t>Aplicado</t>
        </is>
      </c>
      <c r="I5" t="inlineStr">
        <is>
          <t>Pago ficticio aplicado al movimiento de compra.</t>
        </is>
      </c>
    </row>
    <row r="6">
      <c r="A6" t="inlineStr">
        <is>
          <t>PAG-DEMO-002</t>
        </is>
      </c>
      <c r="B6" s="41" t="n">
        <v>46283</v>
      </c>
      <c r="C6" t="inlineStr">
        <is>
          <t>MOV-DEMO-004</t>
        </is>
      </c>
      <c r="D6" t="inlineStr">
        <is>
          <t>Suministros Pacífico Demo S.A.S.</t>
        </is>
      </c>
      <c r="E6" t="inlineStr">
        <is>
          <t>Banco Principal</t>
        </is>
      </c>
      <c r="F6" t="inlineStr">
        <is>
          <t>Transferencia</t>
        </is>
      </c>
      <c r="G6" s="42" t="n">
        <v>420000</v>
      </c>
      <c r="H6" t="inlineStr">
        <is>
          <t>Aplicado</t>
        </is>
      </c>
      <c r="I6" t="inlineStr">
        <is>
          <t>Pago ficticio aplicado al movimiento de compra.</t>
        </is>
      </c>
    </row>
    <row r="7">
      <c r="B7" s="41" t="n"/>
      <c r="G7" s="42" t="n"/>
    </row>
    <row r="8">
      <c r="B8" s="41" t="n"/>
      <c r="G8" s="42" t="n"/>
    </row>
    <row r="9">
      <c r="B9" s="41" t="n"/>
      <c r="G9" s="42" t="n"/>
    </row>
    <row r="10">
      <c r="B10" s="41" t="n"/>
      <c r="G10" s="42" t="n"/>
    </row>
    <row r="11">
      <c r="B11" s="41" t="n"/>
      <c r="G11" s="42" t="n"/>
    </row>
    <row r="12">
      <c r="B12" s="41" t="n"/>
      <c r="G12" s="42" t="n"/>
    </row>
    <row r="13">
      <c r="B13" s="41" t="n"/>
      <c r="G13" s="42" t="n"/>
    </row>
    <row r="14">
      <c r="B14" s="41" t="n"/>
      <c r="G14" s="42" t="n"/>
    </row>
    <row r="15">
      <c r="B15" s="41" t="n"/>
      <c r="G15" s="42" t="n"/>
    </row>
    <row r="16">
      <c r="B16" s="41" t="n"/>
      <c r="G16" s="42" t="n"/>
    </row>
    <row r="17">
      <c r="B17" s="41" t="n"/>
      <c r="G17" s="42" t="n"/>
    </row>
    <row r="18">
      <c r="B18" s="41" t="n"/>
      <c r="G18" s="42" t="n"/>
    </row>
    <row r="19">
      <c r="B19" s="41" t="n"/>
      <c r="G19" s="42" t="n"/>
    </row>
    <row r="20">
      <c r="B20" s="41" t="n"/>
      <c r="G20" s="42" t="n"/>
    </row>
    <row r="21">
      <c r="B21" s="41" t="n"/>
      <c r="G21" s="42" t="n"/>
    </row>
    <row r="22">
      <c r="B22" s="41" t="n"/>
      <c r="G22" s="42" t="n"/>
    </row>
    <row r="23">
      <c r="B23" s="41" t="n"/>
      <c r="G23" s="42" t="n"/>
    </row>
    <row r="24">
      <c r="B24" s="41" t="n"/>
      <c r="G24" s="42" t="n"/>
    </row>
  </sheetData>
  <dataValidations count="3">
    <dataValidation sqref="E5:E10004" showDropDown="0" showInputMessage="0" showErrorMessage="0" allowBlank="1" type="list">
      <formula1>Lst_Cuenta</formula1>
    </dataValidation>
    <dataValidation sqref="F5:F10004" showDropDown="0" showInputMessage="0" showErrorMessage="0" allowBlank="1" type="list">
      <formula1>Lst_MedioPago</formula1>
    </dataValidation>
    <dataValidation sqref="H5:H10004" showDropDown="0" showInputMessage="0" showErrorMessage="0" allowBlank="1" type="list">
      <formula1>Lst_EstadoPagoCobro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2E7D32"/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2"/>
    <col width="18" customWidth="1" style="33" min="3" max="3"/>
    <col width="13" customWidth="1" style="33" min="4" max="4"/>
    <col width="12" customWidth="1" style="33" min="5" max="5"/>
    <col width="15" customWidth="1" style="33" min="6" max="6"/>
    <col width="18" customWidth="1" style="33" min="7" max="7"/>
    <col width="12" customWidth="1" style="33" min="8" max="8"/>
    <col width="19" customWidth="1" style="33" min="9" max="9"/>
  </cols>
  <sheetData>
    <row r="1" ht="21" customHeight="1" s="33">
      <c r="A1" s="1" t="inlineStr">
        <is>
          <t>COBROS</t>
        </is>
      </c>
    </row>
    <row r="2">
      <c r="A2" s="2" t="inlineStr">
        <is>
          <t>Entradas de caja aplicadas contra movimientos de Ingreso/Venta (permite cobros parciales)</t>
        </is>
      </c>
    </row>
    <row r="4" ht="27.95" customHeight="1" s="33">
      <c r="A4" s="14" t="inlineStr">
        <is>
          <t>ID</t>
        </is>
      </c>
      <c r="B4" s="14" t="inlineStr">
        <is>
          <t>Fecha</t>
        </is>
      </c>
      <c r="C4" s="14" t="inlineStr">
        <is>
          <t>MovimientoID</t>
        </is>
      </c>
      <c r="D4" s="14" t="inlineStr">
        <is>
          <t>Tercero</t>
        </is>
      </c>
      <c r="E4" s="14" t="inlineStr">
        <is>
          <t>Cuenta</t>
        </is>
      </c>
      <c r="F4" s="14" t="inlineStr">
        <is>
          <t>MedioPago</t>
        </is>
      </c>
      <c r="G4" s="14" t="inlineStr">
        <is>
          <t>ValorCobrado</t>
        </is>
      </c>
      <c r="H4" s="14" t="inlineStr">
        <is>
          <t>Estado</t>
        </is>
      </c>
      <c r="I4" s="14" t="inlineStr">
        <is>
          <t>Observaciones</t>
        </is>
      </c>
    </row>
    <row r="5">
      <c r="A5" t="inlineStr">
        <is>
          <t>COB-DEMO-001</t>
        </is>
      </c>
      <c r="B5" s="41" t="n">
        <v>46273</v>
      </c>
      <c r="C5" t="inlineStr">
        <is>
          <t>MOV-DEMO-001</t>
        </is>
      </c>
      <c r="D5" t="inlineStr">
        <is>
          <t>Cliente Aurora Demo S.A.S.</t>
        </is>
      </c>
      <c r="E5" t="inlineStr">
        <is>
          <t>Banco Principal</t>
        </is>
      </c>
      <c r="F5" t="inlineStr">
        <is>
          <t>Transferencia</t>
        </is>
      </c>
      <c r="G5" s="42" t="n">
        <v>4800000</v>
      </c>
      <c r="H5" t="inlineStr">
        <is>
          <t>Aplicado</t>
        </is>
      </c>
      <c r="I5" t="inlineStr">
        <is>
          <t>Cobro ficticio aplicado al movimiento de ingreso.</t>
        </is>
      </c>
    </row>
    <row r="6">
      <c r="B6" s="41" t="n"/>
      <c r="G6" s="42" t="n"/>
    </row>
    <row r="7">
      <c r="B7" s="41" t="n"/>
      <c r="G7" s="42" t="n"/>
    </row>
    <row r="8">
      <c r="B8" s="41" t="n"/>
      <c r="G8" s="42" t="n"/>
    </row>
    <row r="9">
      <c r="B9" s="41" t="n"/>
      <c r="G9" s="42" t="n"/>
    </row>
    <row r="10">
      <c r="B10" s="41" t="n"/>
      <c r="G10" s="42" t="n"/>
    </row>
    <row r="11">
      <c r="B11" s="41" t="n"/>
      <c r="G11" s="42" t="n"/>
    </row>
    <row r="12">
      <c r="B12" s="41" t="n"/>
      <c r="G12" s="42" t="n"/>
    </row>
    <row r="13">
      <c r="B13" s="41" t="n"/>
      <c r="G13" s="42" t="n"/>
    </row>
    <row r="14">
      <c r="B14" s="41" t="n"/>
      <c r="G14" s="42" t="n"/>
    </row>
    <row r="15">
      <c r="B15" s="41" t="n"/>
      <c r="G15" s="42" t="n"/>
    </row>
    <row r="16">
      <c r="B16" s="41" t="n"/>
      <c r="G16" s="42" t="n"/>
    </row>
    <row r="17">
      <c r="B17" s="41" t="n"/>
      <c r="G17" s="42" t="n"/>
    </row>
    <row r="18">
      <c r="B18" s="41" t="n"/>
      <c r="G18" s="42" t="n"/>
    </row>
    <row r="19">
      <c r="B19" s="41" t="n"/>
      <c r="G19" s="42" t="n"/>
    </row>
    <row r="20">
      <c r="B20" s="41" t="n"/>
      <c r="G20" s="42" t="n"/>
    </row>
    <row r="21">
      <c r="B21" s="41" t="n"/>
      <c r="G21" s="42" t="n"/>
    </row>
    <row r="22">
      <c r="B22" s="41" t="n"/>
      <c r="G22" s="42" t="n"/>
    </row>
    <row r="23">
      <c r="B23" s="41" t="n"/>
      <c r="G23" s="42" t="n"/>
    </row>
    <row r="24">
      <c r="B24" s="41" t="n"/>
      <c r="G24" s="42" t="n"/>
    </row>
  </sheetData>
  <dataValidations count="3">
    <dataValidation sqref="E5:E10004" showDropDown="0" showInputMessage="0" showErrorMessage="0" allowBlank="1" type="list">
      <formula1>Lst_Cuenta</formula1>
    </dataValidation>
    <dataValidation sqref="F5:F10004" showDropDown="0" showInputMessage="0" showErrorMessage="0" allowBlank="1" type="list">
      <formula1>Lst_MedioPago</formula1>
    </dataValidation>
    <dataValidation sqref="H5:H10004" showDropDown="0" showInputMessage="0" showErrorMessage="0" allowBlank="1" type="list">
      <formula1>Lst_EstadoPagoCobro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1F4E78"/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3"/>
    <col width="13" customWidth="1" style="33" min="4" max="4"/>
    <col width="22" customWidth="1" style="33" min="5" max="5"/>
    <col width="18" customWidth="1" style="33" min="6" max="6"/>
    <col width="17" customWidth="1" style="33" min="7" max="7"/>
    <col width="12" customWidth="1" style="33" min="8" max="8"/>
    <col width="19" customWidth="1" style="33" min="9" max="9"/>
  </cols>
  <sheetData>
    <row r="1" ht="21" customHeight="1" s="33">
      <c r="A1" s="16" t="inlineStr">
        <is>
          <t>CUENTAS</t>
        </is>
      </c>
      <c r="B1" s="39" t="n"/>
      <c r="C1" s="39" t="n"/>
      <c r="D1" s="39" t="n"/>
      <c r="E1" s="39" t="n"/>
      <c r="F1" s="39" t="n"/>
      <c r="H1" s="39" t="n"/>
      <c r="I1" s="39" t="n"/>
    </row>
    <row r="2">
      <c r="A2" s="18" t="inlineStr">
        <is>
          <t>Cuentas de la empresa - el saldo actual se calcula automaticamente</t>
        </is>
      </c>
      <c r="B2" s="39" t="n"/>
      <c r="C2" s="39" t="n"/>
      <c r="D2" s="39" t="n"/>
      <c r="E2" s="39" t="n"/>
      <c r="F2" s="39" t="n"/>
      <c r="H2" s="39" t="n"/>
      <c r="I2" s="39" t="n"/>
    </row>
    <row r="3">
      <c r="A3" s="39" t="n"/>
      <c r="B3" s="39" t="n"/>
      <c r="C3" s="39" t="n"/>
      <c r="D3" s="39" t="n"/>
      <c r="E3" s="39" t="n"/>
      <c r="F3" s="39" t="n"/>
      <c r="H3" s="39" t="n"/>
      <c r="I3" s="39" t="n"/>
    </row>
    <row r="4" ht="27.95" customHeight="1" s="33">
      <c r="A4" s="19" t="inlineStr">
        <is>
          <t>ID</t>
        </is>
      </c>
      <c r="B4" s="19" t="inlineStr">
        <is>
          <t>Cuenta</t>
        </is>
      </c>
      <c r="C4" s="19" t="inlineStr">
        <is>
          <t>Tipo</t>
        </is>
      </c>
      <c r="D4" s="19" t="inlineStr">
        <is>
          <t>Entidad</t>
        </is>
      </c>
      <c r="E4" s="19" t="inlineStr">
        <is>
          <t>NumeroReferencia</t>
        </is>
      </c>
      <c r="F4" s="19" t="inlineStr">
        <is>
          <t>SaldoInicial</t>
        </is>
      </c>
      <c r="G4" s="14" t="inlineStr">
        <is>
          <t>SaldoActual</t>
        </is>
      </c>
      <c r="H4" s="19" t="inlineStr">
        <is>
          <t>Activa</t>
        </is>
      </c>
      <c r="I4" s="19" t="inlineStr">
        <is>
          <t>Observaciones</t>
        </is>
      </c>
    </row>
    <row r="5">
      <c r="A5" s="39" t="inlineStr">
        <is>
          <t>CTA-001</t>
        </is>
      </c>
      <c r="B5" s="39" t="inlineStr">
        <is>
          <t>Caja General</t>
        </is>
      </c>
      <c r="C5" s="39" t="inlineStr">
        <is>
          <t>Caja</t>
        </is>
      </c>
      <c r="D5" s="39" t="n"/>
      <c r="E5" s="39" t="n"/>
      <c r="F5" s="44" t="n">
        <v>0</v>
      </c>
      <c r="G5" s="42">
        <f>$F5+SUMIFS(MOVIMIENTOS!$O$5:$O$10004,MOVIMIENTOS!$K$5:$K$10004,$B5,MOVIMIENTOS!$C$5:$C$10004,"Ingreso",MOVIMIENTOS!$P$5:$P$10004,"Pagado")+SUMIFS(MOVIMIENTOS!$O$5:$O$10004,MOVIMIENTOS!$K$5:$K$10004,$B5,MOVIMIENTOS!$C$5:$C$10004,"Venta",MOVIMIENTOS!$P$5:$P$10004,"Pagado")-SUMIFS(MOVIMIENTOS!$O$5:$O$10004,MOVIMIENTOS!$K$5:$K$10004,$B5,MOVIMIENTOS!$C$5:$C$10004,"Gasto",MOVIMIENTOS!$P$5:$P$10004,"Pagado")-SUMIFS(MOVIMIENTOS!$O$5:$O$10004,MOVIMIENTOS!$K$5:$K$10004,$B5,MOVIMIENTOS!$C$5:$C$10004,"Compra",MOVIMIENTOS!$P$5:$P$10004,"Pagado")</f>
        <v/>
      </c>
      <c r="H5" s="39" t="inlineStr">
        <is>
          <t>Si</t>
        </is>
      </c>
      <c r="I5" s="39" t="n"/>
    </row>
    <row r="6">
      <c r="A6" s="39" t="inlineStr">
        <is>
          <t>CTA-002</t>
        </is>
      </c>
      <c r="B6" s="39" t="inlineStr">
        <is>
          <t>Banco Principal</t>
        </is>
      </c>
      <c r="C6" s="39" t="inlineStr">
        <is>
          <t>Banco</t>
        </is>
      </c>
      <c r="D6" s="39" t="inlineStr">
        <is>
          <t>Configurar entidad</t>
        </is>
      </c>
      <c r="E6" s="39" t="n"/>
      <c r="F6" s="44" t="n">
        <v>0</v>
      </c>
      <c r="G6" s="42">
        <f>$F6+SUMIFS(MOVIMIENTOS!$O$5:$O$10004,MOVIMIENTOS!$K$5:$K$10004,$B6,MOVIMIENTOS!$C$5:$C$10004,"Ingreso",MOVIMIENTOS!$P$5:$P$10004,"Pagado")+SUMIFS(MOVIMIENTOS!$O$5:$O$10004,MOVIMIENTOS!$K$5:$K$10004,$B6,MOVIMIENTOS!$C$5:$C$10004,"Venta",MOVIMIENTOS!$P$5:$P$10004,"Pagado")-SUMIFS(MOVIMIENTOS!$O$5:$O$10004,MOVIMIENTOS!$K$5:$K$10004,$B6,MOVIMIENTOS!$C$5:$C$10004,"Gasto",MOVIMIENTOS!$P$5:$P$10004,"Pagado")-SUMIFS(MOVIMIENTOS!$O$5:$O$10004,MOVIMIENTOS!$K$5:$K$10004,$B6,MOVIMIENTOS!$C$5:$C$10004,"Compra",MOVIMIENTOS!$P$5:$P$10004,"Pagado")</f>
        <v/>
      </c>
      <c r="H6" s="39" t="inlineStr">
        <is>
          <t>Si</t>
        </is>
      </c>
      <c r="I6" s="39" t="n"/>
    </row>
    <row r="7">
      <c r="A7" s="39" t="inlineStr">
        <is>
          <t>CTA-003</t>
        </is>
      </c>
      <c r="B7" s="39" t="inlineStr">
        <is>
          <t>Cuentas por Cobrar</t>
        </is>
      </c>
      <c r="C7" s="39" t="inlineStr">
        <is>
          <t>Cuenta por cobrar</t>
        </is>
      </c>
      <c r="D7" s="39" t="n"/>
      <c r="E7" s="39" t="n"/>
      <c r="F7" s="44" t="n">
        <v>0</v>
      </c>
      <c r="G7" s="42">
        <f>$F7+SUMIFS(MOVIMIENTOS!$O$5:$O$10004,MOVIMIENTOS!$K$5:$K$10004,$B7,MOVIMIENTOS!$C$5:$C$10004,"Ingreso",MOVIMIENTOS!$P$5:$P$10004,"Pagado")+SUMIFS(MOVIMIENTOS!$O$5:$O$10004,MOVIMIENTOS!$K$5:$K$10004,$B7,MOVIMIENTOS!$C$5:$C$10004,"Venta",MOVIMIENTOS!$P$5:$P$10004,"Pagado")-SUMIFS(MOVIMIENTOS!$O$5:$O$10004,MOVIMIENTOS!$K$5:$K$10004,$B7,MOVIMIENTOS!$C$5:$C$10004,"Gasto",MOVIMIENTOS!$P$5:$P$10004,"Pagado")-SUMIFS(MOVIMIENTOS!$O$5:$O$10004,MOVIMIENTOS!$K$5:$K$10004,$B7,MOVIMIENTOS!$C$5:$C$10004,"Compra",MOVIMIENTOS!$P$5:$P$10004,"Pagado")</f>
        <v/>
      </c>
      <c r="H7" s="39" t="inlineStr">
        <is>
          <t>Si</t>
        </is>
      </c>
      <c r="I7" s="39" t="n"/>
    </row>
    <row r="8">
      <c r="A8" s="39" t="inlineStr">
        <is>
          <t>CTA-004</t>
        </is>
      </c>
      <c r="B8" s="39" t="inlineStr">
        <is>
          <t>Cuentas por Pagar</t>
        </is>
      </c>
      <c r="C8" s="39" t="inlineStr">
        <is>
          <t>Cuenta por pagar</t>
        </is>
      </c>
      <c r="D8" s="39" t="n"/>
      <c r="E8" s="39" t="n"/>
      <c r="F8" s="44" t="n">
        <v>0</v>
      </c>
      <c r="G8" s="42">
        <f>$F8+SUMIFS(MOVIMIENTOS!$O$5:$O$10004,MOVIMIENTOS!$K$5:$K$10004,$B8,MOVIMIENTOS!$C$5:$C$10004,"Ingreso",MOVIMIENTOS!$P$5:$P$10004,"Pagado")+SUMIFS(MOVIMIENTOS!$O$5:$O$10004,MOVIMIENTOS!$K$5:$K$10004,$B8,MOVIMIENTOS!$C$5:$C$10004,"Venta",MOVIMIENTOS!$P$5:$P$10004,"Pagado")-SUMIFS(MOVIMIENTOS!$O$5:$O$10004,MOVIMIENTOS!$K$5:$K$10004,$B8,MOVIMIENTOS!$C$5:$C$10004,"Gasto",MOVIMIENTOS!$P$5:$P$10004,"Pagado")-SUMIFS(MOVIMIENTOS!$O$5:$O$10004,MOVIMIENTOS!$K$5:$K$10004,$B8,MOVIMIENTOS!$C$5:$C$10004,"Compra",MOVIMIENTOS!$P$5:$P$10004,"Pagado")</f>
        <v/>
      </c>
      <c r="H8" s="39" t="inlineStr">
        <is>
          <t>Si</t>
        </is>
      </c>
      <c r="I8" s="3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B7791F"/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31" customWidth="1" style="33" min="1" max="1"/>
    <col width="48" customWidth="1" style="33" min="2" max="2"/>
    <col width="16" customWidth="1" style="33" min="3" max="6"/>
  </cols>
  <sheetData>
    <row r="1" ht="21" customHeight="1" s="33">
      <c r="A1" s="1" t="inlineStr">
        <is>
          <t>ASISTENTE LOCAL</t>
        </is>
      </c>
    </row>
    <row r="2">
      <c r="A2" s="2" t="inlineStr">
        <is>
          <t>Sugerencias por reglas editables; revise cada resultado antes de registrarlo</t>
        </is>
      </c>
    </row>
    <row r="4">
      <c r="A4" s="3" t="inlineStr">
        <is>
          <t>DATOS DE LA OPERACIÓN</t>
        </is>
      </c>
    </row>
    <row r="5">
      <c r="A5" t="inlineStr">
        <is>
          <t>Tercero o proveedor</t>
        </is>
      </c>
      <c r="B5" s="5" t="n"/>
    </row>
    <row r="6">
      <c r="A6" t="inlineStr">
        <is>
          <t>Concepto o descripción</t>
        </is>
      </c>
      <c r="B6" s="5" t="n"/>
    </row>
    <row r="8">
      <c r="A8" s="3" t="inlineStr">
        <is>
          <t>SUGERENCIA</t>
        </is>
      </c>
    </row>
    <row r="9">
      <c r="A9" s="6" t="inlineStr">
        <is>
          <t>Estado</t>
        </is>
      </c>
      <c r="B9" s="25">
        <f>IF($B$6="","Escriba un concepto",IF(MAX('REGLAS_IA'!$K$5:$K$104)=0,"Sin coincidencia",IF(COUNTIF('REGLAS_IA'!$K$5:$K$104,MAX('REGLAS_IA'!$K$5:$K$104))&gt;1,"Conflicto: ajuste prioridad","Sugerencia lista para revisar")))</f>
        <v/>
      </c>
    </row>
    <row r="10">
      <c r="A10" s="6" t="inlineStr">
        <is>
          <t>Tipo</t>
        </is>
      </c>
      <c r="B10" s="26">
        <f>IF($B$9&lt;&gt;"Sugerencia lista para revisar","",IFERROR(INDEX('REGLAS_IA'!$D$5:$D$104,MATCH(MAX('REGLAS_IA'!$K$5:$K$104),'REGLAS_IA'!$K$5:$K$104,0)),""))</f>
        <v/>
      </c>
    </row>
    <row r="11">
      <c r="A11" s="6" t="inlineStr">
        <is>
          <t>Categoría</t>
        </is>
      </c>
      <c r="B11" s="26">
        <f>IF($B$9&lt;&gt;"Sugerencia lista para revisar","",IFERROR(INDEX('REGLAS_IA'!$E$5:$E$104,MATCH(MAX('REGLAS_IA'!$K$5:$K$104),'REGLAS_IA'!$K$5:$K$104,0)),""))</f>
        <v/>
      </c>
    </row>
    <row r="12">
      <c r="A12" s="6" t="inlineStr">
        <is>
          <t>Subcategoría</t>
        </is>
      </c>
      <c r="B12" s="26">
        <f>IF($B$9&lt;&gt;"Sugerencia lista para revisar","",IFERROR(INDEX('REGLAS_IA'!$F$5:$F$104,MATCH(MAX('REGLAS_IA'!$K$5:$K$104),'REGLAS_IA'!$K$5:$K$104,0)),""))</f>
        <v/>
      </c>
    </row>
    <row r="13">
      <c r="A13" s="6" t="inlineStr">
        <is>
          <t>Medio de pago</t>
        </is>
      </c>
      <c r="B13" s="26">
        <f>IF($B$9&lt;&gt;"Sugerencia lista para revisar","",IFERROR(INDEX('REGLAS_IA'!$G$5:$G$104,MATCH(MAX('REGLAS_IA'!$K$5:$K$104),'REGLAS_IA'!$K$5:$K$104,0)),""))</f>
        <v/>
      </c>
    </row>
    <row r="14">
      <c r="A14" s="6" t="inlineStr">
        <is>
          <t>Cuenta</t>
        </is>
      </c>
      <c r="B14" s="26">
        <f>IF($B$9&lt;&gt;"Sugerencia lista para revisar","",IFERROR(INDEX('REGLAS_IA'!$H$5:$H$104,MATCH(MAX('REGLAS_IA'!$K$5:$K$104),'REGLAS_IA'!$K$5:$K$104,0)),""))</f>
        <v/>
      </c>
    </row>
    <row r="15">
      <c r="A15" s="6" t="inlineStr">
        <is>
          <t>Regla coincidente</t>
        </is>
      </c>
      <c r="B15" s="26">
        <f>IF($B$9&lt;&gt;"Sugerencia lista para revisar","",IFERROR(INDEX('REGLAS_IA'!$C$5:$C$104,MATCH(MAX('REGLAS_IA'!$K$5:$K$104),'REGLAS_IA'!$K$5:$K$104,0)),""))</f>
        <v/>
      </c>
    </row>
    <row r="16">
      <c r="A16" s="6" t="inlineStr">
        <is>
          <t>Prioridad de regla</t>
        </is>
      </c>
      <c r="B16" s="26">
        <f>IF($B$9&lt;&gt;"Sugerencia lista para revisar","",IFERROR(INDEX('REGLAS_IA'!$J$5:$J$104,MATCH(MAX('REGLAS_IA'!$K$5:$K$104),'REGLAS_IA'!$K$5:$K$104,0)),""))</f>
        <v/>
      </c>
    </row>
    <row r="18">
      <c r="A18" s="3" t="inlineStr">
        <is>
          <t>CÓMO USARLO</t>
        </is>
      </c>
    </row>
    <row r="19">
      <c r="A19" t="inlineStr">
        <is>
          <t>1. Escriba el tercero y el concepto. El tercero es opcional.</t>
        </is>
      </c>
    </row>
    <row r="20">
      <c r="A20" t="inlineStr">
        <is>
          <t>2. Revise la regla, el tipo y la categoría sugeridos.</t>
        </is>
      </c>
    </row>
    <row r="21">
      <c r="A21" t="inlineStr">
        <is>
          <t>3. Confirme los datos y regístrelos en MOVIMIENTOS.</t>
        </is>
      </c>
    </row>
    <row r="23">
      <c r="A23" s="37" t="inlineStr">
        <is>
          <t>Funciona sin internet ni servicios pagos. La prioridad ordena reglas, no es una probabilidad de acierto. No calcula impuestos ni registra datos automáticamente.</t>
        </is>
      </c>
    </row>
    <row r="24"/>
    <row r="26">
      <c r="A26" s="4" t="inlineStr">
        <is>
          <t>Editar las reglas y crear patrones propios</t>
        </is>
      </c>
    </row>
    <row r="27">
      <c r="A27" s="4" t="inlineStr">
        <is>
          <t>Volver al inicio</t>
        </is>
      </c>
    </row>
  </sheetData>
  <mergeCells count="1">
    <mergeCell ref="A23:F24"/>
  </mergeCells>
  <conditionalFormatting sqref="B9">
    <cfRule type="expression" priority="1" dxfId="1">
      <formula>$B$9="Sugerencia lista para revisar"</formula>
    </cfRule>
    <cfRule type="expression" priority="2" dxfId="0">
      <formula>OR($B$9="Conflicto: ajuste prioridad",$B$9="Sin coincidencia")</formula>
    </cfRule>
  </conditionalFormatting>
  <hyperlinks>
    <hyperlink ref="A26" location="'REGLAS_IA'!A1" display="Editar las reglas y crear patrones propios"/>
    <hyperlink ref="A27" location="'INICIO'!A1" display="Volver al inicio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1F4E78"/>
    <outlinePr summaryBelow="1" summaryRight="1"/>
    <pageSetUpPr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1"/>
    <col width="10" customWidth="1" style="33" min="2" max="2"/>
    <col width="24" customWidth="1" style="33" min="3" max="3"/>
    <col width="14" customWidth="1" style="33" min="4" max="4"/>
    <col width="22" customWidth="1" style="33" min="5" max="5"/>
    <col width="24" customWidth="1" style="33" min="6" max="6"/>
    <col width="18" customWidth="1" style="33" min="7" max="7"/>
    <col width="22" customWidth="1" style="33" min="8" max="8"/>
    <col width="24" customWidth="1" style="33" min="9" max="9"/>
    <col width="12" customWidth="1" style="33" min="10" max="10"/>
    <col width="16" customWidth="1" style="33" min="11" max="11"/>
    <col width="28" customWidth="1" style="33" min="12" max="12"/>
  </cols>
  <sheetData>
    <row r="1" ht="21" customHeight="1" s="33">
      <c r="A1" s="16" t="inlineStr">
        <is>
          <t>REGLAS DEL ASISTENTE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L1" s="39" t="n"/>
    </row>
    <row r="2">
      <c r="A2" s="18" t="inlineStr">
        <is>
          <t>Catálogo editable de patrones; agregue reglas aprobadas por su empresa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L2" s="39" t="n"/>
    </row>
    <row r="3" ht="30" customHeight="1" s="33">
      <c r="A3" s="38" t="inlineStr">
        <is>
          <t>Las reglas solo proponen clasificación. Prioridad mayor gana; si hay empate, el asistente muestra conflicto. Ajuste palabras y prioridad según sus operaciones.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 ht="27.95" customHeight="1" s="33">
      <c r="A4" s="19" t="inlineStr">
        <is>
          <t>ID</t>
        </is>
      </c>
      <c r="B4" s="19" t="inlineStr">
        <is>
          <t>Activa</t>
        </is>
      </c>
      <c r="C4" s="19" t="inlineStr">
        <is>
          <t>PalabraClave</t>
        </is>
      </c>
      <c r="D4" s="19" t="inlineStr">
        <is>
          <t>Tipo</t>
        </is>
      </c>
      <c r="E4" s="19" t="inlineStr">
        <is>
          <t>Categoria</t>
        </is>
      </c>
      <c r="F4" s="19" t="inlineStr">
        <is>
          <t>Subcategoria</t>
        </is>
      </c>
      <c r="G4" s="19" t="inlineStr">
        <is>
          <t>MedioPago</t>
        </is>
      </c>
      <c r="H4" s="19" t="inlineStr">
        <is>
          <t>Cuenta</t>
        </is>
      </c>
      <c r="I4" s="19" t="inlineStr">
        <is>
          <t>TerceroOpcional</t>
        </is>
      </c>
      <c r="J4" s="19" t="inlineStr">
        <is>
          <t>Prioridad</t>
        </is>
      </c>
      <c r="K4" s="14" t="inlineStr">
        <is>
          <t>Coincidencia</t>
        </is>
      </c>
      <c r="L4" s="19" t="inlineStr">
        <is>
          <t>Observaciones</t>
        </is>
      </c>
    </row>
    <row r="5">
      <c r="A5" s="39" t="inlineStr">
        <is>
          <t>IA-001</t>
        </is>
      </c>
      <c r="B5" s="39" t="inlineStr">
        <is>
          <t>Sí</t>
        </is>
      </c>
      <c r="C5" s="39" t="inlineStr">
        <is>
          <t>arriendo</t>
        </is>
      </c>
      <c r="D5" s="39" t="inlineStr">
        <is>
          <t>Gasto</t>
        </is>
      </c>
      <c r="E5" s="39" t="inlineStr">
        <is>
          <t>Administracion</t>
        </is>
      </c>
      <c r="F5" s="39" t="inlineStr">
        <is>
          <t>Arriendo</t>
        </is>
      </c>
      <c r="G5" s="39" t="n"/>
      <c r="H5" s="39" t="n"/>
      <c r="I5" s="39" t="n"/>
      <c r="J5" s="27" t="n">
        <v>20</v>
      </c>
      <c r="K5" s="28">
        <f>IF(OR(B5&lt;&gt;"Sí",C5="",ASISTENTE!$B$6=""),0,IFERROR(IF(AND(OR(I5="",ISNUMBER(SEARCH(I5,ASISTENTE!$B$5))),ISNUMBER(SEARCH(C5,ASISTENTE!$B$5&amp;" "&amp;ASISTENTE!$B$6))),J5,0),0))</f>
        <v/>
      </c>
      <c r="L5" s="39" t="inlineStr">
        <is>
          <t>Ejemplo editable</t>
        </is>
      </c>
    </row>
    <row r="6">
      <c r="A6" s="39" t="inlineStr">
        <is>
          <t>IA-002</t>
        </is>
      </c>
      <c r="B6" s="39" t="inlineStr">
        <is>
          <t>Sí</t>
        </is>
      </c>
      <c r="C6" s="39" t="inlineStr">
        <is>
          <t>servicios publicos</t>
        </is>
      </c>
      <c r="D6" s="39" t="inlineStr">
        <is>
          <t>Gasto</t>
        </is>
      </c>
      <c r="E6" s="39" t="inlineStr">
        <is>
          <t>Operacion</t>
        </is>
      </c>
      <c r="F6" s="39" t="inlineStr">
        <is>
          <t>Servicios publicos</t>
        </is>
      </c>
      <c r="G6" s="39" t="n"/>
      <c r="H6" s="39" t="n"/>
      <c r="I6" s="39" t="n"/>
      <c r="J6" s="27" t="n">
        <v>20</v>
      </c>
      <c r="K6" s="28">
        <f>IF(OR(B6&lt;&gt;"Sí",C6="",ASISTENTE!$B$6=""),0,IFERROR(IF(AND(OR(I6="",ISNUMBER(SEARCH(I6,ASISTENTE!$B$5))),ISNUMBER(SEARCH(C6,ASISTENTE!$B$5&amp;" "&amp;ASISTENTE!$B$6))),J6,0),0))</f>
        <v/>
      </c>
      <c r="L6" s="39" t="inlineStr">
        <is>
          <t>Ejemplo sin tilde</t>
        </is>
      </c>
    </row>
    <row r="7">
      <c r="A7" s="39" t="inlineStr">
        <is>
          <t>IA-003</t>
        </is>
      </c>
      <c r="B7" s="39" t="inlineStr">
        <is>
          <t>Sí</t>
        </is>
      </c>
      <c r="C7" s="39" t="inlineStr">
        <is>
          <t>servicios públicos</t>
        </is>
      </c>
      <c r="D7" s="39" t="inlineStr">
        <is>
          <t>Gasto</t>
        </is>
      </c>
      <c r="E7" s="39" t="inlineStr">
        <is>
          <t>Operacion</t>
        </is>
      </c>
      <c r="F7" s="39" t="inlineStr">
        <is>
          <t>Servicios publicos</t>
        </is>
      </c>
      <c r="G7" s="39" t="n"/>
      <c r="H7" s="39" t="n"/>
      <c r="I7" s="39" t="n"/>
      <c r="J7" s="27" t="n">
        <v>20</v>
      </c>
      <c r="K7" s="28">
        <f>IF(OR(B7&lt;&gt;"Sí",C7="",ASISTENTE!$B$6=""),0,IFERROR(IF(AND(OR(I7="",ISNUMBER(SEARCH(I7,ASISTENTE!$B$5))),ISNUMBER(SEARCH(C7,ASISTENTE!$B$5&amp;" "&amp;ASISTENTE!$B$6))),J7,0),0))</f>
        <v/>
      </c>
      <c r="L7" s="39" t="inlineStr">
        <is>
          <t>Variante con tilde</t>
        </is>
      </c>
    </row>
    <row r="8">
      <c r="A8" s="39" t="inlineStr">
        <is>
          <t>IA-004</t>
        </is>
      </c>
      <c r="B8" s="39" t="inlineStr">
        <is>
          <t>Sí</t>
        </is>
      </c>
      <c r="C8" s="39" t="inlineStr">
        <is>
          <t>suministros</t>
        </is>
      </c>
      <c r="D8" s="39" t="inlineStr">
        <is>
          <t>Gasto</t>
        </is>
      </c>
      <c r="E8" s="39" t="inlineStr">
        <is>
          <t>Operacion</t>
        </is>
      </c>
      <c r="F8" s="39" t="inlineStr">
        <is>
          <t>Suministros</t>
        </is>
      </c>
      <c r="G8" s="39" t="n"/>
      <c r="H8" s="39" t="n"/>
      <c r="I8" s="39" t="n"/>
      <c r="J8" s="27" t="n">
        <v>20</v>
      </c>
      <c r="K8" s="28">
        <f>IF(OR(B8&lt;&gt;"Sí",C8="",ASISTENTE!$B$6=""),0,IFERROR(IF(AND(OR(I8="",ISNUMBER(SEARCH(I8,ASISTENTE!$B$5))),ISNUMBER(SEARCH(C8,ASISTENTE!$B$5&amp;" "&amp;ASISTENTE!$B$6))),J8,0),0))</f>
        <v/>
      </c>
      <c r="L8" s="39" t="inlineStr">
        <is>
          <t>Ejemplo editable</t>
        </is>
      </c>
    </row>
    <row r="9">
      <c r="A9" s="39" t="inlineStr">
        <is>
          <t>IA-005</t>
        </is>
      </c>
      <c r="B9" s="39" t="inlineStr">
        <is>
          <t>Sí</t>
        </is>
      </c>
      <c r="C9" s="39" t="inlineStr">
        <is>
          <t>software</t>
        </is>
      </c>
      <c r="D9" s="39" t="inlineStr">
        <is>
          <t>Gasto</t>
        </is>
      </c>
      <c r="E9" s="39" t="inlineStr">
        <is>
          <t>Administracion</t>
        </is>
      </c>
      <c r="F9" s="39" t="inlineStr">
        <is>
          <t>Software</t>
        </is>
      </c>
      <c r="G9" s="39" t="n"/>
      <c r="H9" s="39" t="n"/>
      <c r="I9" s="39" t="n"/>
      <c r="J9" s="27" t="n">
        <v>20</v>
      </c>
      <c r="K9" s="28">
        <f>IF(OR(B9&lt;&gt;"Sí",C9="",ASISTENTE!$B$6=""),0,IFERROR(IF(AND(OR(I9="",ISNUMBER(SEARCH(I9,ASISTENTE!$B$5))),ISNUMBER(SEARCH(C9,ASISTENTE!$B$5&amp;" "&amp;ASISTENTE!$B$6))),J9,0),0))</f>
        <v/>
      </c>
      <c r="L9" s="39" t="inlineStr">
        <is>
          <t>Ejemplo editable</t>
        </is>
      </c>
    </row>
    <row r="10">
      <c r="A10" s="39" t="inlineStr">
        <is>
          <t>IA-006</t>
        </is>
      </c>
      <c r="B10" s="39" t="inlineStr">
        <is>
          <t>Sí</t>
        </is>
      </c>
      <c r="C10" s="39" t="inlineStr">
        <is>
          <t>nomina</t>
        </is>
      </c>
      <c r="D10" s="39" t="inlineStr">
        <is>
          <t>Gasto</t>
        </is>
      </c>
      <c r="E10" s="39" t="inlineStr">
        <is>
          <t>Nomina</t>
        </is>
      </c>
      <c r="F10" s="39" t="inlineStr">
        <is>
          <t>Salarios</t>
        </is>
      </c>
      <c r="G10" s="39" t="n"/>
      <c r="H10" s="39" t="n"/>
      <c r="I10" s="39" t="n"/>
      <c r="J10" s="27" t="n">
        <v>20</v>
      </c>
      <c r="K10" s="28">
        <f>IF(OR(B10&lt;&gt;"Sí",C10="",ASISTENTE!$B$6=""),0,IFERROR(IF(AND(OR(I10="",ISNUMBER(SEARCH(I10,ASISTENTE!$B$5))),ISNUMBER(SEARCH(C10,ASISTENTE!$B$5&amp;" "&amp;ASISTENTE!$B$6))),J10,0),0))</f>
        <v/>
      </c>
      <c r="L10" s="39" t="inlineStr">
        <is>
          <t>Ejemplo sin tilde</t>
        </is>
      </c>
    </row>
    <row r="11">
      <c r="A11" s="39" t="inlineStr">
        <is>
          <t>IA-007</t>
        </is>
      </c>
      <c r="B11" s="39" t="inlineStr">
        <is>
          <t>Sí</t>
        </is>
      </c>
      <c r="C11" s="39" t="inlineStr">
        <is>
          <t>nómina</t>
        </is>
      </c>
      <c r="D11" s="39" t="inlineStr">
        <is>
          <t>Gasto</t>
        </is>
      </c>
      <c r="E11" s="39" t="inlineStr">
        <is>
          <t>Nomina</t>
        </is>
      </c>
      <c r="F11" s="39" t="inlineStr">
        <is>
          <t>Salarios</t>
        </is>
      </c>
      <c r="G11" s="39" t="n"/>
      <c r="H11" s="39" t="n"/>
      <c r="I11" s="39" t="n"/>
      <c r="J11" s="27" t="n">
        <v>20</v>
      </c>
      <c r="K11" s="28">
        <f>IF(OR(B11&lt;&gt;"Sí",C11="",ASISTENTE!$B$6=""),0,IFERROR(IF(AND(OR(I11="",ISNUMBER(SEARCH(I11,ASISTENTE!$B$5))),ISNUMBER(SEARCH(C11,ASISTENTE!$B$5&amp;" "&amp;ASISTENTE!$B$6))),J11,0),0))</f>
        <v/>
      </c>
      <c r="L11" s="39" t="inlineStr">
        <is>
          <t>Variante con tilde</t>
        </is>
      </c>
    </row>
    <row r="12">
      <c r="A12" s="39" t="inlineStr">
        <is>
          <t>IA-008</t>
        </is>
      </c>
      <c r="B12" s="39" t="inlineStr">
        <is>
          <t>Sí</t>
        </is>
      </c>
      <c r="C12" s="39" t="inlineStr">
        <is>
          <t>venta de productos</t>
        </is>
      </c>
      <c r="D12" s="39" t="inlineStr">
        <is>
          <t>Ingreso</t>
        </is>
      </c>
      <c r="E12" s="39" t="inlineStr">
        <is>
          <t>Ventas</t>
        </is>
      </c>
      <c r="F12" s="39" t="inlineStr">
        <is>
          <t>Productos</t>
        </is>
      </c>
      <c r="G12" s="39" t="n"/>
      <c r="H12" s="39" t="n"/>
      <c r="I12" s="39" t="n"/>
      <c r="J12" s="27" t="n">
        <v>30</v>
      </c>
      <c r="K12" s="28">
        <f>IF(OR(B12&lt;&gt;"Sí",C12="",ASISTENTE!$B$6=""),0,IFERROR(IF(AND(OR(I12="",ISNUMBER(SEARCH(I12,ASISTENTE!$B$5))),ISNUMBER(SEARCH(C12,ASISTENTE!$B$5&amp;" "&amp;ASISTENTE!$B$6))),J12,0),0))</f>
        <v/>
      </c>
      <c r="L12" s="39" t="inlineStr">
        <is>
          <t>Frase específica</t>
        </is>
      </c>
    </row>
    <row r="13">
      <c r="A13" s="39" t="inlineStr">
        <is>
          <t>IA-009</t>
        </is>
      </c>
      <c r="B13" s="39" t="inlineStr">
        <is>
          <t>Sí</t>
        </is>
      </c>
      <c r="C13" s="39" t="inlineStr">
        <is>
          <t>venta productos</t>
        </is>
      </c>
      <c r="D13" s="39" t="inlineStr">
        <is>
          <t>Ingreso</t>
        </is>
      </c>
      <c r="E13" s="39" t="inlineStr">
        <is>
          <t>Ventas</t>
        </is>
      </c>
      <c r="F13" s="39" t="inlineStr">
        <is>
          <t>Productos</t>
        </is>
      </c>
      <c r="G13" s="39" t="n"/>
      <c r="H13" s="39" t="n"/>
      <c r="I13" s="39" t="n"/>
      <c r="J13" s="27" t="n">
        <v>25</v>
      </c>
      <c r="K13" s="28">
        <f>IF(OR(B13&lt;&gt;"Sí",C13="",ASISTENTE!$B$6=""),0,IFERROR(IF(AND(OR(I13="",ISNUMBER(SEARCH(I13,ASISTENTE!$B$5))),ISNUMBER(SEARCH(C13,ASISTENTE!$B$5&amp;" "&amp;ASISTENTE!$B$6))),J13,0),0))</f>
        <v/>
      </c>
      <c r="L13" s="39" t="inlineStr">
        <is>
          <t>Frase breve</t>
        </is>
      </c>
    </row>
    <row r="14">
      <c r="A14" s="39" t="inlineStr">
        <is>
          <t>IA-010</t>
        </is>
      </c>
      <c r="B14" s="39" t="inlineStr">
        <is>
          <t>Sí</t>
        </is>
      </c>
      <c r="C14" s="39" t="inlineStr">
        <is>
          <t>venta de servicios</t>
        </is>
      </c>
      <c r="D14" s="39" t="inlineStr">
        <is>
          <t>Ingreso</t>
        </is>
      </c>
      <c r="E14" s="39" t="inlineStr">
        <is>
          <t>Ventas</t>
        </is>
      </c>
      <c r="F14" s="39" t="inlineStr">
        <is>
          <t>Servicios</t>
        </is>
      </c>
      <c r="G14" s="39" t="n"/>
      <c r="H14" s="39" t="n"/>
      <c r="I14" s="39" t="n"/>
      <c r="J14" s="27" t="n">
        <v>30</v>
      </c>
      <c r="K14" s="28">
        <f>IF(OR(B14&lt;&gt;"Sí",C14="",ASISTENTE!$B$6=""),0,IFERROR(IF(AND(OR(I14="",ISNUMBER(SEARCH(I14,ASISTENTE!$B$5))),ISNUMBER(SEARCH(C14,ASISTENTE!$B$5&amp;" "&amp;ASISTENTE!$B$6))),J14,0),0))</f>
        <v/>
      </c>
      <c r="L14" s="39" t="inlineStr">
        <is>
          <t>Frase específica</t>
        </is>
      </c>
    </row>
    <row r="15">
      <c r="A15" s="39" t="inlineStr">
        <is>
          <t>IA-011</t>
        </is>
      </c>
      <c r="B15" s="39" t="inlineStr">
        <is>
          <t>Sí</t>
        </is>
      </c>
      <c r="C15" s="39" t="inlineStr">
        <is>
          <t>venta servicios</t>
        </is>
      </c>
      <c r="D15" s="39" t="inlineStr">
        <is>
          <t>Ingreso</t>
        </is>
      </c>
      <c r="E15" s="39" t="inlineStr">
        <is>
          <t>Ventas</t>
        </is>
      </c>
      <c r="F15" s="39" t="inlineStr">
        <is>
          <t>Servicios</t>
        </is>
      </c>
      <c r="G15" s="39" t="n"/>
      <c r="H15" s="39" t="n"/>
      <c r="I15" s="39" t="n"/>
      <c r="J15" s="27" t="n">
        <v>25</v>
      </c>
      <c r="K15" s="28">
        <f>IF(OR(B15&lt;&gt;"Sí",C15="",ASISTENTE!$B$6=""),0,IFERROR(IF(AND(OR(I15="",ISNUMBER(SEARCH(I15,ASISTENTE!$B$5))),ISNUMBER(SEARCH(C15,ASISTENTE!$B$5&amp;" "&amp;ASISTENTE!$B$6))),J15,0),0))</f>
        <v/>
      </c>
      <c r="L15" s="39" t="inlineStr">
        <is>
          <t>Frase breve</t>
        </is>
      </c>
    </row>
    <row r="16">
      <c r="A16" s="39" t="inlineStr">
        <is>
          <t>IA-012</t>
        </is>
      </c>
      <c r="B16" s="39" t="inlineStr">
        <is>
          <t>Sí</t>
        </is>
      </c>
      <c r="C16" s="39" t="inlineStr">
        <is>
          <t>rendimientos</t>
        </is>
      </c>
      <c r="D16" s="39" t="inlineStr">
        <is>
          <t>Ingreso</t>
        </is>
      </c>
      <c r="E16" s="39" t="inlineStr">
        <is>
          <t>Financiero</t>
        </is>
      </c>
      <c r="F16" s="39" t="inlineStr">
        <is>
          <t>Rendimientos</t>
        </is>
      </c>
      <c r="G16" s="39" t="n"/>
      <c r="H16" s="39" t="n"/>
      <c r="I16" s="39" t="n"/>
      <c r="J16" s="27" t="n">
        <v>20</v>
      </c>
      <c r="K16" s="28">
        <f>IF(OR(B16&lt;&gt;"Sí",C16="",ASISTENTE!$B$6=""),0,IFERROR(IF(AND(OR(I16="",ISNUMBER(SEARCH(I16,ASISTENTE!$B$5))),ISNUMBER(SEARCH(C16,ASISTENTE!$B$5&amp;" "&amp;ASISTENTE!$B$6))),J16,0),0))</f>
        <v/>
      </c>
      <c r="L16" s="39" t="inlineStr">
        <is>
          <t>Ejemplo editable</t>
        </is>
      </c>
    </row>
    <row r="17">
      <c r="A17" s="39" t="inlineStr">
        <is>
          <t>IA-013</t>
        </is>
      </c>
      <c r="B17" s="39" t="inlineStr">
        <is>
          <t>Sí</t>
        </is>
      </c>
      <c r="C17" s="39" t="inlineStr">
        <is>
          <t>compra mercancia</t>
        </is>
      </c>
      <c r="D17" s="39" t="inlineStr">
        <is>
          <t>Compra</t>
        </is>
      </c>
      <c r="E17" s="39" t="inlineStr">
        <is>
          <t>Inventario</t>
        </is>
      </c>
      <c r="F17" s="39" t="inlineStr">
        <is>
          <t>Mercancia</t>
        </is>
      </c>
      <c r="G17" s="39" t="n"/>
      <c r="H17" s="39" t="n"/>
      <c r="I17" s="39" t="n"/>
      <c r="J17" s="27" t="n">
        <v>25</v>
      </c>
      <c r="K17" s="28">
        <f>IF(OR(B17&lt;&gt;"Sí",C17="",ASISTENTE!$B$6=""),0,IFERROR(IF(AND(OR(I17="",ISNUMBER(SEARCH(I17,ASISTENTE!$B$5))),ISNUMBER(SEARCH(C17,ASISTENTE!$B$5&amp;" "&amp;ASISTENTE!$B$6))),J17,0),0))</f>
        <v/>
      </c>
      <c r="L17" s="39" t="inlineStr">
        <is>
          <t>Ejemplo sin tilde</t>
        </is>
      </c>
    </row>
    <row r="18">
      <c r="A18" s="39" t="inlineStr">
        <is>
          <t>IA-014</t>
        </is>
      </c>
      <c r="B18" s="39" t="inlineStr">
        <is>
          <t>Sí</t>
        </is>
      </c>
      <c r="C18" s="39" t="inlineStr">
        <is>
          <t>compra mercancía</t>
        </is>
      </c>
      <c r="D18" s="39" t="inlineStr">
        <is>
          <t>Compra</t>
        </is>
      </c>
      <c r="E18" s="39" t="inlineStr">
        <is>
          <t>Inventario</t>
        </is>
      </c>
      <c r="F18" s="39" t="inlineStr">
        <is>
          <t>Mercancia</t>
        </is>
      </c>
      <c r="G18" s="39" t="n"/>
      <c r="H18" s="39" t="n"/>
      <c r="I18" s="39" t="n"/>
      <c r="J18" s="27" t="n">
        <v>25</v>
      </c>
      <c r="K18" s="28">
        <f>IF(OR(B18&lt;&gt;"Sí",C18="",ASISTENTE!$B$6=""),0,IFERROR(IF(AND(OR(I18="",ISNUMBER(SEARCH(I18,ASISTENTE!$B$5))),ISNUMBER(SEARCH(C18,ASISTENTE!$B$5&amp;" "&amp;ASISTENTE!$B$6))),J18,0),0))</f>
        <v/>
      </c>
      <c r="L18" s="39" t="inlineStr">
        <is>
          <t>Variante con tilde</t>
        </is>
      </c>
    </row>
    <row r="19">
      <c r="A19" s="39" t="inlineStr">
        <is>
          <t>IA-015</t>
        </is>
      </c>
      <c r="B19" s="39" t="inlineStr">
        <is>
          <t>Sí</t>
        </is>
      </c>
      <c r="C19" s="39" t="inlineStr">
        <is>
          <t>tecnologia</t>
        </is>
      </c>
      <c r="D19" s="39" t="inlineStr">
        <is>
          <t>Compra</t>
        </is>
      </c>
      <c r="E19" s="39" t="inlineStr">
        <is>
          <t>Activos</t>
        </is>
      </c>
      <c r="F19" s="39" t="inlineStr">
        <is>
          <t>Tecnologia</t>
        </is>
      </c>
      <c r="G19" s="39" t="n"/>
      <c r="H19" s="39" t="n"/>
      <c r="I19" s="39" t="n"/>
      <c r="J19" s="27" t="n">
        <v>20</v>
      </c>
      <c r="K19" s="28">
        <f>IF(OR(B19&lt;&gt;"Sí",C19="",ASISTENTE!$B$6=""),0,IFERROR(IF(AND(OR(I19="",ISNUMBER(SEARCH(I19,ASISTENTE!$B$5))),ISNUMBER(SEARCH(C19,ASISTENTE!$B$5&amp;" "&amp;ASISTENTE!$B$6))),J19,0),0))</f>
        <v/>
      </c>
      <c r="L19" s="39" t="inlineStr">
        <is>
          <t>Ejemplo sin tilde</t>
        </is>
      </c>
    </row>
    <row r="20">
      <c r="A20" s="39" t="inlineStr">
        <is>
          <t>IA-016</t>
        </is>
      </c>
      <c r="B20" s="39" t="inlineStr">
        <is>
          <t>Sí</t>
        </is>
      </c>
      <c r="C20" s="39" t="inlineStr">
        <is>
          <t>tecnología</t>
        </is>
      </c>
      <c r="D20" s="39" t="inlineStr">
        <is>
          <t>Compra</t>
        </is>
      </c>
      <c r="E20" s="39" t="inlineStr">
        <is>
          <t>Activos</t>
        </is>
      </c>
      <c r="F20" s="39" t="inlineStr">
        <is>
          <t>Tecnologia</t>
        </is>
      </c>
      <c r="G20" s="39" t="n"/>
      <c r="H20" s="39" t="n"/>
      <c r="I20" s="39" t="n"/>
      <c r="J20" s="27" t="n">
        <v>20</v>
      </c>
      <c r="K20" s="28">
        <f>IF(OR(B20&lt;&gt;"Sí",C20="",ASISTENTE!$B$6=""),0,IFERROR(IF(AND(OR(I20="",ISNUMBER(SEARCH(I20,ASISTENTE!$B$5))),ISNUMBER(SEARCH(C20,ASISTENTE!$B$5&amp;" "&amp;ASISTENTE!$B$6))),J20,0),0))</f>
        <v/>
      </c>
      <c r="L20" s="39" t="inlineStr">
        <is>
          <t>Variante con tilde</t>
        </is>
      </c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27" t="n"/>
      <c r="K21" s="28">
        <f>IF(OR(B21&lt;&gt;"Sí",C21="",ASISTENTE!$B$6=""),0,IFERROR(IF(AND(OR(I21="",ISNUMBER(SEARCH(I21,ASISTENTE!$B$5))),ISNUMBER(SEARCH(C21,ASISTENTE!$B$5&amp;" "&amp;ASISTENTE!$B$6))),J21,0),0))</f>
        <v/>
      </c>
      <c r="L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27" t="n"/>
      <c r="K22" s="28">
        <f>IF(OR(B22&lt;&gt;"Sí",C22="",ASISTENTE!$B$6=""),0,IFERROR(IF(AND(OR(I22="",ISNUMBER(SEARCH(I22,ASISTENTE!$B$5))),ISNUMBER(SEARCH(C22,ASISTENTE!$B$5&amp;" "&amp;ASISTENTE!$B$6))),J22,0),0))</f>
        <v/>
      </c>
      <c r="L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27" t="n"/>
      <c r="K23" s="28">
        <f>IF(OR(B23&lt;&gt;"Sí",C23="",ASISTENTE!$B$6=""),0,IFERROR(IF(AND(OR(I23="",ISNUMBER(SEARCH(I23,ASISTENTE!$B$5))),ISNUMBER(SEARCH(C23,ASISTENTE!$B$5&amp;" "&amp;ASISTENTE!$B$6))),J23,0),0))</f>
        <v/>
      </c>
      <c r="L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27" t="n"/>
      <c r="K24" s="28">
        <f>IF(OR(B24&lt;&gt;"Sí",C24="",ASISTENTE!$B$6=""),0,IFERROR(IF(AND(OR(I24="",ISNUMBER(SEARCH(I24,ASISTENTE!$B$5))),ISNUMBER(SEARCH(C24,ASISTENTE!$B$5&amp;" "&amp;ASISTENTE!$B$6))),J24,0),0))</f>
        <v/>
      </c>
      <c r="L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27" t="n"/>
      <c r="K25" s="28">
        <f>IF(OR(B25&lt;&gt;"Sí",C25="",ASISTENTE!$B$6=""),0,IFERROR(IF(AND(OR(I25="",ISNUMBER(SEARCH(I25,ASISTENTE!$B$5))),ISNUMBER(SEARCH(C25,ASISTENTE!$B$5&amp;" "&amp;ASISTENTE!$B$6))),J25,0),0))</f>
        <v/>
      </c>
      <c r="L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27" t="n"/>
      <c r="K26" s="28">
        <f>IF(OR(B26&lt;&gt;"Sí",C26="",ASISTENTE!$B$6=""),0,IFERROR(IF(AND(OR(I26="",ISNUMBER(SEARCH(I26,ASISTENTE!$B$5))),ISNUMBER(SEARCH(C26,ASISTENTE!$B$5&amp;" "&amp;ASISTENTE!$B$6))),J26,0),0))</f>
        <v/>
      </c>
      <c r="L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27" t="n"/>
      <c r="K27" s="28">
        <f>IF(OR(B27&lt;&gt;"Sí",C27="",ASISTENTE!$B$6=""),0,IFERROR(IF(AND(OR(I27="",ISNUMBER(SEARCH(I27,ASISTENTE!$B$5))),ISNUMBER(SEARCH(C27,ASISTENTE!$B$5&amp;" "&amp;ASISTENTE!$B$6))),J27,0),0))</f>
        <v/>
      </c>
      <c r="L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27" t="n"/>
      <c r="K28" s="28">
        <f>IF(OR(B28&lt;&gt;"Sí",C28="",ASISTENTE!$B$6=""),0,IFERROR(IF(AND(OR(I28="",ISNUMBER(SEARCH(I28,ASISTENTE!$B$5))),ISNUMBER(SEARCH(C28,ASISTENTE!$B$5&amp;" "&amp;ASISTENTE!$B$6))),J28,0),0))</f>
        <v/>
      </c>
      <c r="L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27" t="n"/>
      <c r="K29" s="28">
        <f>IF(OR(B29&lt;&gt;"Sí",C29="",ASISTENTE!$B$6=""),0,IFERROR(IF(AND(OR(I29="",ISNUMBER(SEARCH(I29,ASISTENTE!$B$5))),ISNUMBER(SEARCH(C29,ASISTENTE!$B$5&amp;" "&amp;ASISTENTE!$B$6))),J29,0),0))</f>
        <v/>
      </c>
      <c r="L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27" t="n"/>
      <c r="K30" s="28">
        <f>IF(OR(B30&lt;&gt;"Sí",C30="",ASISTENTE!$B$6=""),0,IFERROR(IF(AND(OR(I30="",ISNUMBER(SEARCH(I30,ASISTENTE!$B$5))),ISNUMBER(SEARCH(C30,ASISTENTE!$B$5&amp;" "&amp;ASISTENTE!$B$6))),J30,0),0))</f>
        <v/>
      </c>
      <c r="L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27" t="n"/>
      <c r="K31" s="28">
        <f>IF(OR(B31&lt;&gt;"Sí",C31="",ASISTENTE!$B$6=""),0,IFERROR(IF(AND(OR(I31="",ISNUMBER(SEARCH(I31,ASISTENTE!$B$5))),ISNUMBER(SEARCH(C31,ASISTENTE!$B$5&amp;" "&amp;ASISTENTE!$B$6))),J31,0),0))</f>
        <v/>
      </c>
      <c r="L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27" t="n"/>
      <c r="K32" s="28">
        <f>IF(OR(B32&lt;&gt;"Sí",C32="",ASISTENTE!$B$6=""),0,IFERROR(IF(AND(OR(I32="",ISNUMBER(SEARCH(I32,ASISTENTE!$B$5))),ISNUMBER(SEARCH(C32,ASISTENTE!$B$5&amp;" "&amp;ASISTENTE!$B$6))),J32,0),0))</f>
        <v/>
      </c>
      <c r="L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27" t="n"/>
      <c r="K33" s="28">
        <f>IF(OR(B33&lt;&gt;"Sí",C33="",ASISTENTE!$B$6=""),0,IFERROR(IF(AND(OR(I33="",ISNUMBER(SEARCH(I33,ASISTENTE!$B$5))),ISNUMBER(SEARCH(C33,ASISTENTE!$B$5&amp;" "&amp;ASISTENTE!$B$6))),J33,0),0))</f>
        <v/>
      </c>
      <c r="L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27" t="n"/>
      <c r="K34" s="28">
        <f>IF(OR(B34&lt;&gt;"Sí",C34="",ASISTENTE!$B$6=""),0,IFERROR(IF(AND(OR(I34="",ISNUMBER(SEARCH(I34,ASISTENTE!$B$5))),ISNUMBER(SEARCH(C34,ASISTENTE!$B$5&amp;" "&amp;ASISTENTE!$B$6))),J34,0),0))</f>
        <v/>
      </c>
      <c r="L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27" t="n"/>
      <c r="K35" s="28">
        <f>IF(OR(B35&lt;&gt;"Sí",C35="",ASISTENTE!$B$6=""),0,IFERROR(IF(AND(OR(I35="",ISNUMBER(SEARCH(I35,ASISTENTE!$B$5))),ISNUMBER(SEARCH(C35,ASISTENTE!$B$5&amp;" "&amp;ASISTENTE!$B$6))),J35,0),0))</f>
        <v/>
      </c>
      <c r="L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27" t="n"/>
      <c r="K36" s="28">
        <f>IF(OR(B36&lt;&gt;"Sí",C36="",ASISTENTE!$B$6=""),0,IFERROR(IF(AND(OR(I36="",ISNUMBER(SEARCH(I36,ASISTENTE!$B$5))),ISNUMBER(SEARCH(C36,ASISTENTE!$B$5&amp;" "&amp;ASISTENTE!$B$6))),J36,0),0))</f>
        <v/>
      </c>
      <c r="L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27" t="n"/>
      <c r="K37" s="28">
        <f>IF(OR(B37&lt;&gt;"Sí",C37="",ASISTENTE!$B$6=""),0,IFERROR(IF(AND(OR(I37="",ISNUMBER(SEARCH(I37,ASISTENTE!$B$5))),ISNUMBER(SEARCH(C37,ASISTENTE!$B$5&amp;" "&amp;ASISTENTE!$B$6))),J37,0),0))</f>
        <v/>
      </c>
      <c r="L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27" t="n"/>
      <c r="K38" s="28">
        <f>IF(OR(B38&lt;&gt;"Sí",C38="",ASISTENTE!$B$6=""),0,IFERROR(IF(AND(OR(I38="",ISNUMBER(SEARCH(I38,ASISTENTE!$B$5))),ISNUMBER(SEARCH(C38,ASISTENTE!$B$5&amp;" "&amp;ASISTENTE!$B$6))),J38,0),0))</f>
        <v/>
      </c>
      <c r="L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27" t="n"/>
      <c r="K39" s="28">
        <f>IF(OR(B39&lt;&gt;"Sí",C39="",ASISTENTE!$B$6=""),0,IFERROR(IF(AND(OR(I39="",ISNUMBER(SEARCH(I39,ASISTENTE!$B$5))),ISNUMBER(SEARCH(C39,ASISTENTE!$B$5&amp;" "&amp;ASISTENTE!$B$6))),J39,0),0))</f>
        <v/>
      </c>
      <c r="L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27" t="n"/>
      <c r="K40" s="28">
        <f>IF(OR(B40&lt;&gt;"Sí",C40="",ASISTENTE!$B$6=""),0,IFERROR(IF(AND(OR(I40="",ISNUMBER(SEARCH(I40,ASISTENTE!$B$5))),ISNUMBER(SEARCH(C40,ASISTENTE!$B$5&amp;" "&amp;ASISTENTE!$B$6))),J40,0),0))</f>
        <v/>
      </c>
      <c r="L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27" t="n"/>
      <c r="K41" s="28">
        <f>IF(OR(B41&lt;&gt;"Sí",C41="",ASISTENTE!$B$6=""),0,IFERROR(IF(AND(OR(I41="",ISNUMBER(SEARCH(I41,ASISTENTE!$B$5))),ISNUMBER(SEARCH(C41,ASISTENTE!$B$5&amp;" "&amp;ASISTENTE!$B$6))),J41,0),0))</f>
        <v/>
      </c>
      <c r="L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27" t="n"/>
      <c r="K42" s="28">
        <f>IF(OR(B42&lt;&gt;"Sí",C42="",ASISTENTE!$B$6=""),0,IFERROR(IF(AND(OR(I42="",ISNUMBER(SEARCH(I42,ASISTENTE!$B$5))),ISNUMBER(SEARCH(C42,ASISTENTE!$B$5&amp;" "&amp;ASISTENTE!$B$6))),J42,0),0))</f>
        <v/>
      </c>
      <c r="L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27" t="n"/>
      <c r="K43" s="28">
        <f>IF(OR(B43&lt;&gt;"Sí",C43="",ASISTENTE!$B$6=""),0,IFERROR(IF(AND(OR(I43="",ISNUMBER(SEARCH(I43,ASISTENTE!$B$5))),ISNUMBER(SEARCH(C43,ASISTENTE!$B$5&amp;" "&amp;ASISTENTE!$B$6))),J43,0),0))</f>
        <v/>
      </c>
      <c r="L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27" t="n"/>
      <c r="K44" s="28">
        <f>IF(OR(B44&lt;&gt;"Sí",C44="",ASISTENTE!$B$6=""),0,IFERROR(IF(AND(OR(I44="",ISNUMBER(SEARCH(I44,ASISTENTE!$B$5))),ISNUMBER(SEARCH(C44,ASISTENTE!$B$5&amp;" "&amp;ASISTENTE!$B$6))),J44,0),0))</f>
        <v/>
      </c>
      <c r="L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27" t="n"/>
      <c r="K45" s="28">
        <f>IF(OR(B45&lt;&gt;"Sí",C45="",ASISTENTE!$B$6=""),0,IFERROR(IF(AND(OR(I45="",ISNUMBER(SEARCH(I45,ASISTENTE!$B$5))),ISNUMBER(SEARCH(C45,ASISTENTE!$B$5&amp;" "&amp;ASISTENTE!$B$6))),J45,0),0))</f>
        <v/>
      </c>
      <c r="L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27" t="n"/>
      <c r="K46" s="28">
        <f>IF(OR(B46&lt;&gt;"Sí",C46="",ASISTENTE!$B$6=""),0,IFERROR(IF(AND(OR(I46="",ISNUMBER(SEARCH(I46,ASISTENTE!$B$5))),ISNUMBER(SEARCH(C46,ASISTENTE!$B$5&amp;" "&amp;ASISTENTE!$B$6))),J46,0),0))</f>
        <v/>
      </c>
      <c r="L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27" t="n"/>
      <c r="K47" s="28">
        <f>IF(OR(B47&lt;&gt;"Sí",C47="",ASISTENTE!$B$6=""),0,IFERROR(IF(AND(OR(I47="",ISNUMBER(SEARCH(I47,ASISTENTE!$B$5))),ISNUMBER(SEARCH(C47,ASISTENTE!$B$5&amp;" "&amp;ASISTENTE!$B$6))),J47,0),0))</f>
        <v/>
      </c>
      <c r="L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27" t="n"/>
      <c r="K48" s="28">
        <f>IF(OR(B48&lt;&gt;"Sí",C48="",ASISTENTE!$B$6=""),0,IFERROR(IF(AND(OR(I48="",ISNUMBER(SEARCH(I48,ASISTENTE!$B$5))),ISNUMBER(SEARCH(C48,ASISTENTE!$B$5&amp;" "&amp;ASISTENTE!$B$6))),J48,0),0))</f>
        <v/>
      </c>
      <c r="L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27" t="n"/>
      <c r="K49" s="28">
        <f>IF(OR(B49&lt;&gt;"Sí",C49="",ASISTENTE!$B$6=""),0,IFERROR(IF(AND(OR(I49="",ISNUMBER(SEARCH(I49,ASISTENTE!$B$5))),ISNUMBER(SEARCH(C49,ASISTENTE!$B$5&amp;" "&amp;ASISTENTE!$B$6))),J49,0),0))</f>
        <v/>
      </c>
      <c r="L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27" t="n"/>
      <c r="K50" s="28">
        <f>IF(OR(B50&lt;&gt;"Sí",C50="",ASISTENTE!$B$6=""),0,IFERROR(IF(AND(OR(I50="",ISNUMBER(SEARCH(I50,ASISTENTE!$B$5))),ISNUMBER(SEARCH(C50,ASISTENTE!$B$5&amp;" "&amp;ASISTENTE!$B$6))),J50,0),0))</f>
        <v/>
      </c>
      <c r="L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27" t="n"/>
      <c r="K51" s="28">
        <f>IF(OR(B51&lt;&gt;"Sí",C51="",ASISTENTE!$B$6=""),0,IFERROR(IF(AND(OR(I51="",ISNUMBER(SEARCH(I51,ASISTENTE!$B$5))),ISNUMBER(SEARCH(C51,ASISTENTE!$B$5&amp;" "&amp;ASISTENTE!$B$6))),J51,0),0))</f>
        <v/>
      </c>
      <c r="L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27" t="n"/>
      <c r="K52" s="28">
        <f>IF(OR(B52&lt;&gt;"Sí",C52="",ASISTENTE!$B$6=""),0,IFERROR(IF(AND(OR(I52="",ISNUMBER(SEARCH(I52,ASISTENTE!$B$5))),ISNUMBER(SEARCH(C52,ASISTENTE!$B$5&amp;" "&amp;ASISTENTE!$B$6))),J52,0),0))</f>
        <v/>
      </c>
      <c r="L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27" t="n"/>
      <c r="K53" s="28">
        <f>IF(OR(B53&lt;&gt;"Sí",C53="",ASISTENTE!$B$6=""),0,IFERROR(IF(AND(OR(I53="",ISNUMBER(SEARCH(I53,ASISTENTE!$B$5))),ISNUMBER(SEARCH(C53,ASISTENTE!$B$5&amp;" "&amp;ASISTENTE!$B$6))),J53,0),0))</f>
        <v/>
      </c>
      <c r="L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27" t="n"/>
      <c r="K54" s="28">
        <f>IF(OR(B54&lt;&gt;"Sí",C54="",ASISTENTE!$B$6=""),0,IFERROR(IF(AND(OR(I54="",ISNUMBER(SEARCH(I54,ASISTENTE!$B$5))),ISNUMBER(SEARCH(C54,ASISTENTE!$B$5&amp;" "&amp;ASISTENTE!$B$6))),J54,0),0))</f>
        <v/>
      </c>
      <c r="L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27" t="n"/>
      <c r="K55" s="28">
        <f>IF(OR(B55&lt;&gt;"Sí",C55="",ASISTENTE!$B$6=""),0,IFERROR(IF(AND(OR(I55="",ISNUMBER(SEARCH(I55,ASISTENTE!$B$5))),ISNUMBER(SEARCH(C55,ASISTENTE!$B$5&amp;" "&amp;ASISTENTE!$B$6))),J55,0),0))</f>
        <v/>
      </c>
      <c r="L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27" t="n"/>
      <c r="K56" s="28">
        <f>IF(OR(B56&lt;&gt;"Sí",C56="",ASISTENTE!$B$6=""),0,IFERROR(IF(AND(OR(I56="",ISNUMBER(SEARCH(I56,ASISTENTE!$B$5))),ISNUMBER(SEARCH(C56,ASISTENTE!$B$5&amp;" "&amp;ASISTENTE!$B$6))),J56,0),0))</f>
        <v/>
      </c>
      <c r="L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27" t="n"/>
      <c r="K57" s="28">
        <f>IF(OR(B57&lt;&gt;"Sí",C57="",ASISTENTE!$B$6=""),0,IFERROR(IF(AND(OR(I57="",ISNUMBER(SEARCH(I57,ASISTENTE!$B$5))),ISNUMBER(SEARCH(C57,ASISTENTE!$B$5&amp;" "&amp;ASISTENTE!$B$6))),J57,0),0))</f>
        <v/>
      </c>
      <c r="L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27" t="n"/>
      <c r="K58" s="28">
        <f>IF(OR(B58&lt;&gt;"Sí",C58="",ASISTENTE!$B$6=""),0,IFERROR(IF(AND(OR(I58="",ISNUMBER(SEARCH(I58,ASISTENTE!$B$5))),ISNUMBER(SEARCH(C58,ASISTENTE!$B$5&amp;" "&amp;ASISTENTE!$B$6))),J58,0),0))</f>
        <v/>
      </c>
      <c r="L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27" t="n"/>
      <c r="K59" s="28">
        <f>IF(OR(B59&lt;&gt;"Sí",C59="",ASISTENTE!$B$6=""),0,IFERROR(IF(AND(OR(I59="",ISNUMBER(SEARCH(I59,ASISTENTE!$B$5))),ISNUMBER(SEARCH(C59,ASISTENTE!$B$5&amp;" "&amp;ASISTENTE!$B$6))),J59,0),0))</f>
        <v/>
      </c>
      <c r="L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27" t="n"/>
      <c r="K60" s="28">
        <f>IF(OR(B60&lt;&gt;"Sí",C60="",ASISTENTE!$B$6=""),0,IFERROR(IF(AND(OR(I60="",ISNUMBER(SEARCH(I60,ASISTENTE!$B$5))),ISNUMBER(SEARCH(C60,ASISTENTE!$B$5&amp;" "&amp;ASISTENTE!$B$6))),J60,0),0))</f>
        <v/>
      </c>
      <c r="L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27" t="n"/>
      <c r="K61" s="28">
        <f>IF(OR(B61&lt;&gt;"Sí",C61="",ASISTENTE!$B$6=""),0,IFERROR(IF(AND(OR(I61="",ISNUMBER(SEARCH(I61,ASISTENTE!$B$5))),ISNUMBER(SEARCH(C61,ASISTENTE!$B$5&amp;" "&amp;ASISTENTE!$B$6))),J61,0),0))</f>
        <v/>
      </c>
      <c r="L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27" t="n"/>
      <c r="K62" s="28">
        <f>IF(OR(B62&lt;&gt;"Sí",C62="",ASISTENTE!$B$6=""),0,IFERROR(IF(AND(OR(I62="",ISNUMBER(SEARCH(I62,ASISTENTE!$B$5))),ISNUMBER(SEARCH(C62,ASISTENTE!$B$5&amp;" "&amp;ASISTENTE!$B$6))),J62,0),0))</f>
        <v/>
      </c>
      <c r="L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27" t="n"/>
      <c r="K63" s="28">
        <f>IF(OR(B63&lt;&gt;"Sí",C63="",ASISTENTE!$B$6=""),0,IFERROR(IF(AND(OR(I63="",ISNUMBER(SEARCH(I63,ASISTENTE!$B$5))),ISNUMBER(SEARCH(C63,ASISTENTE!$B$5&amp;" "&amp;ASISTENTE!$B$6))),J63,0),0))</f>
        <v/>
      </c>
      <c r="L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27" t="n"/>
      <c r="K64" s="28">
        <f>IF(OR(B64&lt;&gt;"Sí",C64="",ASISTENTE!$B$6=""),0,IFERROR(IF(AND(OR(I64="",ISNUMBER(SEARCH(I64,ASISTENTE!$B$5))),ISNUMBER(SEARCH(C64,ASISTENTE!$B$5&amp;" "&amp;ASISTENTE!$B$6))),J64,0),0))</f>
        <v/>
      </c>
      <c r="L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27" t="n"/>
      <c r="K65" s="28">
        <f>IF(OR(B65&lt;&gt;"Sí",C65="",ASISTENTE!$B$6=""),0,IFERROR(IF(AND(OR(I65="",ISNUMBER(SEARCH(I65,ASISTENTE!$B$5))),ISNUMBER(SEARCH(C65,ASISTENTE!$B$5&amp;" "&amp;ASISTENTE!$B$6))),J65,0),0))</f>
        <v/>
      </c>
      <c r="L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27" t="n"/>
      <c r="K66" s="28">
        <f>IF(OR(B66&lt;&gt;"Sí",C66="",ASISTENTE!$B$6=""),0,IFERROR(IF(AND(OR(I66="",ISNUMBER(SEARCH(I66,ASISTENTE!$B$5))),ISNUMBER(SEARCH(C66,ASISTENTE!$B$5&amp;" "&amp;ASISTENTE!$B$6))),J66,0),0))</f>
        <v/>
      </c>
      <c r="L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27" t="n"/>
      <c r="K67" s="28">
        <f>IF(OR(B67&lt;&gt;"Sí",C67="",ASISTENTE!$B$6=""),0,IFERROR(IF(AND(OR(I67="",ISNUMBER(SEARCH(I67,ASISTENTE!$B$5))),ISNUMBER(SEARCH(C67,ASISTENTE!$B$5&amp;" "&amp;ASISTENTE!$B$6))),J67,0),0))</f>
        <v/>
      </c>
      <c r="L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27" t="n"/>
      <c r="K68" s="28">
        <f>IF(OR(B68&lt;&gt;"Sí",C68="",ASISTENTE!$B$6=""),0,IFERROR(IF(AND(OR(I68="",ISNUMBER(SEARCH(I68,ASISTENTE!$B$5))),ISNUMBER(SEARCH(C68,ASISTENTE!$B$5&amp;" "&amp;ASISTENTE!$B$6))),J68,0),0))</f>
        <v/>
      </c>
      <c r="L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27" t="n"/>
      <c r="K69" s="28">
        <f>IF(OR(B69&lt;&gt;"Sí",C69="",ASISTENTE!$B$6=""),0,IFERROR(IF(AND(OR(I69="",ISNUMBER(SEARCH(I69,ASISTENTE!$B$5))),ISNUMBER(SEARCH(C69,ASISTENTE!$B$5&amp;" "&amp;ASISTENTE!$B$6))),J69,0),0))</f>
        <v/>
      </c>
      <c r="L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27" t="n"/>
      <c r="K70" s="28">
        <f>IF(OR(B70&lt;&gt;"Sí",C70="",ASISTENTE!$B$6=""),0,IFERROR(IF(AND(OR(I70="",ISNUMBER(SEARCH(I70,ASISTENTE!$B$5))),ISNUMBER(SEARCH(C70,ASISTENTE!$B$5&amp;" "&amp;ASISTENTE!$B$6))),J70,0),0))</f>
        <v/>
      </c>
      <c r="L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27" t="n"/>
      <c r="K71" s="28">
        <f>IF(OR(B71&lt;&gt;"Sí",C71="",ASISTENTE!$B$6=""),0,IFERROR(IF(AND(OR(I71="",ISNUMBER(SEARCH(I71,ASISTENTE!$B$5))),ISNUMBER(SEARCH(C71,ASISTENTE!$B$5&amp;" "&amp;ASISTENTE!$B$6))),J71,0),0))</f>
        <v/>
      </c>
      <c r="L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27" t="n"/>
      <c r="K72" s="28">
        <f>IF(OR(B72&lt;&gt;"Sí",C72="",ASISTENTE!$B$6=""),0,IFERROR(IF(AND(OR(I72="",ISNUMBER(SEARCH(I72,ASISTENTE!$B$5))),ISNUMBER(SEARCH(C72,ASISTENTE!$B$5&amp;" "&amp;ASISTENTE!$B$6))),J72,0),0))</f>
        <v/>
      </c>
      <c r="L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27" t="n"/>
      <c r="K73" s="28">
        <f>IF(OR(B73&lt;&gt;"Sí",C73="",ASISTENTE!$B$6=""),0,IFERROR(IF(AND(OR(I73="",ISNUMBER(SEARCH(I73,ASISTENTE!$B$5))),ISNUMBER(SEARCH(C73,ASISTENTE!$B$5&amp;" "&amp;ASISTENTE!$B$6))),J73,0),0))</f>
        <v/>
      </c>
      <c r="L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27" t="n"/>
      <c r="K74" s="28">
        <f>IF(OR(B74&lt;&gt;"Sí",C74="",ASISTENTE!$B$6=""),0,IFERROR(IF(AND(OR(I74="",ISNUMBER(SEARCH(I74,ASISTENTE!$B$5))),ISNUMBER(SEARCH(C74,ASISTENTE!$B$5&amp;" "&amp;ASISTENTE!$B$6))),J74,0),0))</f>
        <v/>
      </c>
      <c r="L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27" t="n"/>
      <c r="K75" s="28">
        <f>IF(OR(B75&lt;&gt;"Sí",C75="",ASISTENTE!$B$6=""),0,IFERROR(IF(AND(OR(I75="",ISNUMBER(SEARCH(I75,ASISTENTE!$B$5))),ISNUMBER(SEARCH(C75,ASISTENTE!$B$5&amp;" "&amp;ASISTENTE!$B$6))),J75,0),0))</f>
        <v/>
      </c>
      <c r="L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27" t="n"/>
      <c r="K76" s="28">
        <f>IF(OR(B76&lt;&gt;"Sí",C76="",ASISTENTE!$B$6=""),0,IFERROR(IF(AND(OR(I76="",ISNUMBER(SEARCH(I76,ASISTENTE!$B$5))),ISNUMBER(SEARCH(C76,ASISTENTE!$B$5&amp;" "&amp;ASISTENTE!$B$6))),J76,0),0))</f>
        <v/>
      </c>
      <c r="L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27" t="n"/>
      <c r="K77" s="28">
        <f>IF(OR(B77&lt;&gt;"Sí",C77="",ASISTENTE!$B$6=""),0,IFERROR(IF(AND(OR(I77="",ISNUMBER(SEARCH(I77,ASISTENTE!$B$5))),ISNUMBER(SEARCH(C77,ASISTENTE!$B$5&amp;" "&amp;ASISTENTE!$B$6))),J77,0),0))</f>
        <v/>
      </c>
      <c r="L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27" t="n"/>
      <c r="K78" s="28">
        <f>IF(OR(B78&lt;&gt;"Sí",C78="",ASISTENTE!$B$6=""),0,IFERROR(IF(AND(OR(I78="",ISNUMBER(SEARCH(I78,ASISTENTE!$B$5))),ISNUMBER(SEARCH(C78,ASISTENTE!$B$5&amp;" "&amp;ASISTENTE!$B$6))),J78,0),0))</f>
        <v/>
      </c>
      <c r="L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27" t="n"/>
      <c r="K79" s="28">
        <f>IF(OR(B79&lt;&gt;"Sí",C79="",ASISTENTE!$B$6=""),0,IFERROR(IF(AND(OR(I79="",ISNUMBER(SEARCH(I79,ASISTENTE!$B$5))),ISNUMBER(SEARCH(C79,ASISTENTE!$B$5&amp;" "&amp;ASISTENTE!$B$6))),J79,0),0))</f>
        <v/>
      </c>
      <c r="L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27" t="n"/>
      <c r="K80" s="28">
        <f>IF(OR(B80&lt;&gt;"Sí",C80="",ASISTENTE!$B$6=""),0,IFERROR(IF(AND(OR(I80="",ISNUMBER(SEARCH(I80,ASISTENTE!$B$5))),ISNUMBER(SEARCH(C80,ASISTENTE!$B$5&amp;" "&amp;ASISTENTE!$B$6))),J80,0),0))</f>
        <v/>
      </c>
      <c r="L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27" t="n"/>
      <c r="K81" s="28">
        <f>IF(OR(B81&lt;&gt;"Sí",C81="",ASISTENTE!$B$6=""),0,IFERROR(IF(AND(OR(I81="",ISNUMBER(SEARCH(I81,ASISTENTE!$B$5))),ISNUMBER(SEARCH(C81,ASISTENTE!$B$5&amp;" "&amp;ASISTENTE!$B$6))),J81,0),0))</f>
        <v/>
      </c>
      <c r="L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27" t="n"/>
      <c r="K82" s="28">
        <f>IF(OR(B82&lt;&gt;"Sí",C82="",ASISTENTE!$B$6=""),0,IFERROR(IF(AND(OR(I82="",ISNUMBER(SEARCH(I82,ASISTENTE!$B$5))),ISNUMBER(SEARCH(C82,ASISTENTE!$B$5&amp;" "&amp;ASISTENTE!$B$6))),J82,0),0))</f>
        <v/>
      </c>
      <c r="L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27" t="n"/>
      <c r="K83" s="28">
        <f>IF(OR(B83&lt;&gt;"Sí",C83="",ASISTENTE!$B$6=""),0,IFERROR(IF(AND(OR(I83="",ISNUMBER(SEARCH(I83,ASISTENTE!$B$5))),ISNUMBER(SEARCH(C83,ASISTENTE!$B$5&amp;" "&amp;ASISTENTE!$B$6))),J83,0),0))</f>
        <v/>
      </c>
      <c r="L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27" t="n"/>
      <c r="K84" s="28">
        <f>IF(OR(B84&lt;&gt;"Sí",C84="",ASISTENTE!$B$6=""),0,IFERROR(IF(AND(OR(I84="",ISNUMBER(SEARCH(I84,ASISTENTE!$B$5))),ISNUMBER(SEARCH(C84,ASISTENTE!$B$5&amp;" "&amp;ASISTENTE!$B$6))),J84,0),0))</f>
        <v/>
      </c>
      <c r="L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27" t="n"/>
      <c r="K85" s="28">
        <f>IF(OR(B85&lt;&gt;"Sí",C85="",ASISTENTE!$B$6=""),0,IFERROR(IF(AND(OR(I85="",ISNUMBER(SEARCH(I85,ASISTENTE!$B$5))),ISNUMBER(SEARCH(C85,ASISTENTE!$B$5&amp;" "&amp;ASISTENTE!$B$6))),J85,0),0))</f>
        <v/>
      </c>
      <c r="L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27" t="n"/>
      <c r="K86" s="28">
        <f>IF(OR(B86&lt;&gt;"Sí",C86="",ASISTENTE!$B$6=""),0,IFERROR(IF(AND(OR(I86="",ISNUMBER(SEARCH(I86,ASISTENTE!$B$5))),ISNUMBER(SEARCH(C86,ASISTENTE!$B$5&amp;" "&amp;ASISTENTE!$B$6))),J86,0),0))</f>
        <v/>
      </c>
      <c r="L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27" t="n"/>
      <c r="K87" s="28">
        <f>IF(OR(B87&lt;&gt;"Sí",C87="",ASISTENTE!$B$6=""),0,IFERROR(IF(AND(OR(I87="",ISNUMBER(SEARCH(I87,ASISTENTE!$B$5))),ISNUMBER(SEARCH(C87,ASISTENTE!$B$5&amp;" "&amp;ASISTENTE!$B$6))),J87,0),0))</f>
        <v/>
      </c>
      <c r="L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27" t="n"/>
      <c r="K88" s="28">
        <f>IF(OR(B88&lt;&gt;"Sí",C88="",ASISTENTE!$B$6=""),0,IFERROR(IF(AND(OR(I88="",ISNUMBER(SEARCH(I88,ASISTENTE!$B$5))),ISNUMBER(SEARCH(C88,ASISTENTE!$B$5&amp;" "&amp;ASISTENTE!$B$6))),J88,0),0))</f>
        <v/>
      </c>
      <c r="L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27" t="n"/>
      <c r="K89" s="28">
        <f>IF(OR(B89&lt;&gt;"Sí",C89="",ASISTENTE!$B$6=""),0,IFERROR(IF(AND(OR(I89="",ISNUMBER(SEARCH(I89,ASISTENTE!$B$5))),ISNUMBER(SEARCH(C89,ASISTENTE!$B$5&amp;" "&amp;ASISTENTE!$B$6))),J89,0),0))</f>
        <v/>
      </c>
      <c r="L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27" t="n"/>
      <c r="K90" s="28">
        <f>IF(OR(B90&lt;&gt;"Sí",C90="",ASISTENTE!$B$6=""),0,IFERROR(IF(AND(OR(I90="",ISNUMBER(SEARCH(I90,ASISTENTE!$B$5))),ISNUMBER(SEARCH(C90,ASISTENTE!$B$5&amp;" "&amp;ASISTENTE!$B$6))),J90,0),0))</f>
        <v/>
      </c>
      <c r="L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27" t="n"/>
      <c r="K91" s="28">
        <f>IF(OR(B91&lt;&gt;"Sí",C91="",ASISTENTE!$B$6=""),0,IFERROR(IF(AND(OR(I91="",ISNUMBER(SEARCH(I91,ASISTENTE!$B$5))),ISNUMBER(SEARCH(C91,ASISTENTE!$B$5&amp;" "&amp;ASISTENTE!$B$6))),J91,0),0))</f>
        <v/>
      </c>
      <c r="L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27" t="n"/>
      <c r="K92" s="28">
        <f>IF(OR(B92&lt;&gt;"Sí",C92="",ASISTENTE!$B$6=""),0,IFERROR(IF(AND(OR(I92="",ISNUMBER(SEARCH(I92,ASISTENTE!$B$5))),ISNUMBER(SEARCH(C92,ASISTENTE!$B$5&amp;" "&amp;ASISTENTE!$B$6))),J92,0),0))</f>
        <v/>
      </c>
      <c r="L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27" t="n"/>
      <c r="K93" s="28">
        <f>IF(OR(B93&lt;&gt;"Sí",C93="",ASISTENTE!$B$6=""),0,IFERROR(IF(AND(OR(I93="",ISNUMBER(SEARCH(I93,ASISTENTE!$B$5))),ISNUMBER(SEARCH(C93,ASISTENTE!$B$5&amp;" "&amp;ASISTENTE!$B$6))),J93,0),0))</f>
        <v/>
      </c>
      <c r="L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27" t="n"/>
      <c r="K94" s="28">
        <f>IF(OR(B94&lt;&gt;"Sí",C94="",ASISTENTE!$B$6=""),0,IFERROR(IF(AND(OR(I94="",ISNUMBER(SEARCH(I94,ASISTENTE!$B$5))),ISNUMBER(SEARCH(C94,ASISTENTE!$B$5&amp;" "&amp;ASISTENTE!$B$6))),J94,0),0))</f>
        <v/>
      </c>
      <c r="L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27" t="n"/>
      <c r="K95" s="28">
        <f>IF(OR(B95&lt;&gt;"Sí",C95="",ASISTENTE!$B$6=""),0,IFERROR(IF(AND(OR(I95="",ISNUMBER(SEARCH(I95,ASISTENTE!$B$5))),ISNUMBER(SEARCH(C95,ASISTENTE!$B$5&amp;" "&amp;ASISTENTE!$B$6))),J95,0),0))</f>
        <v/>
      </c>
      <c r="L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27" t="n"/>
      <c r="K96" s="28">
        <f>IF(OR(B96&lt;&gt;"Sí",C96="",ASISTENTE!$B$6=""),0,IFERROR(IF(AND(OR(I96="",ISNUMBER(SEARCH(I96,ASISTENTE!$B$5))),ISNUMBER(SEARCH(C96,ASISTENTE!$B$5&amp;" "&amp;ASISTENTE!$B$6))),J96,0),0))</f>
        <v/>
      </c>
      <c r="L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27" t="n"/>
      <c r="K97" s="28">
        <f>IF(OR(B97&lt;&gt;"Sí",C97="",ASISTENTE!$B$6=""),0,IFERROR(IF(AND(OR(I97="",ISNUMBER(SEARCH(I97,ASISTENTE!$B$5))),ISNUMBER(SEARCH(C97,ASISTENTE!$B$5&amp;" "&amp;ASISTENTE!$B$6))),J97,0),0))</f>
        <v/>
      </c>
      <c r="L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27" t="n"/>
      <c r="K98" s="28">
        <f>IF(OR(B98&lt;&gt;"Sí",C98="",ASISTENTE!$B$6=""),0,IFERROR(IF(AND(OR(I98="",ISNUMBER(SEARCH(I98,ASISTENTE!$B$5))),ISNUMBER(SEARCH(C98,ASISTENTE!$B$5&amp;" "&amp;ASISTENTE!$B$6))),J98,0),0))</f>
        <v/>
      </c>
      <c r="L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27" t="n"/>
      <c r="K99" s="28">
        <f>IF(OR(B99&lt;&gt;"Sí",C99="",ASISTENTE!$B$6=""),0,IFERROR(IF(AND(OR(I99="",ISNUMBER(SEARCH(I99,ASISTENTE!$B$5))),ISNUMBER(SEARCH(C99,ASISTENTE!$B$5&amp;" "&amp;ASISTENTE!$B$6))),J99,0),0))</f>
        <v/>
      </c>
      <c r="L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27" t="n"/>
      <c r="K100" s="28">
        <f>IF(OR(B100&lt;&gt;"Sí",C100="",ASISTENTE!$B$6=""),0,IFERROR(IF(AND(OR(I100="",ISNUMBER(SEARCH(I100,ASISTENTE!$B$5))),ISNUMBER(SEARCH(C100,ASISTENTE!$B$5&amp;" "&amp;ASISTENTE!$B$6))),J100,0),0))</f>
        <v/>
      </c>
      <c r="L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27" t="n"/>
      <c r="K101" s="28">
        <f>IF(OR(B101&lt;&gt;"Sí",C101="",ASISTENTE!$B$6=""),0,IFERROR(IF(AND(OR(I101="",ISNUMBER(SEARCH(I101,ASISTENTE!$B$5))),ISNUMBER(SEARCH(C101,ASISTENTE!$B$5&amp;" "&amp;ASISTENTE!$B$6))),J101,0),0))</f>
        <v/>
      </c>
      <c r="L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27" t="n"/>
      <c r="K102" s="28">
        <f>IF(OR(B102&lt;&gt;"Sí",C102="",ASISTENTE!$B$6=""),0,IFERROR(IF(AND(OR(I102="",ISNUMBER(SEARCH(I102,ASISTENTE!$B$5))),ISNUMBER(SEARCH(C102,ASISTENTE!$B$5&amp;" "&amp;ASISTENTE!$B$6))),J102,0),0))</f>
        <v/>
      </c>
      <c r="L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27" t="n"/>
      <c r="K103" s="28">
        <f>IF(OR(B103&lt;&gt;"Sí",C103="",ASISTENTE!$B$6=""),0,IFERROR(IF(AND(OR(I103="",ISNUMBER(SEARCH(I103,ASISTENTE!$B$5))),ISNUMBER(SEARCH(C103,ASISTENTE!$B$5&amp;" "&amp;ASISTENTE!$B$6))),J103,0),0))</f>
        <v/>
      </c>
      <c r="L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27" t="n"/>
      <c r="K104" s="28">
        <f>IF(OR(B104&lt;&gt;"Sí",C104="",ASISTENTE!$B$6=""),0,IFERROR(IF(AND(OR(I104="",ISNUMBER(SEARCH(I104,ASISTENTE!$B$5))),ISNUMBER(SEARCH(C104,ASISTENTE!$B$5&amp;" "&amp;ASISTENTE!$B$6))),J104,0),0))</f>
        <v/>
      </c>
      <c r="L104" s="39" t="n"/>
    </row>
  </sheetData>
  <mergeCells count="1">
    <mergeCell ref="A3:L3"/>
  </mergeCells>
  <dataValidations count="6">
    <dataValidation sqref="B5:B104" showDropDown="0" showInputMessage="0" showErrorMessage="0" allowBlank="1" type="list">
      <formula1>"Sí,No"</formula1>
    </dataValidation>
    <dataValidation sqref="D5:D104" showDropDown="0" showInputMessage="0" showErrorMessage="0" allowBlank="1" type="list">
      <formula1>Lst_TipoMovimiento</formula1>
    </dataValidation>
    <dataValidation sqref="E5:E104" showDropDown="0" showInputMessage="0" showErrorMessage="0" allowBlank="1" type="list">
      <formula1>Lst_Categoria</formula1>
    </dataValidation>
    <dataValidation sqref="G5:G104" showDropDown="0" showInputMessage="0" showErrorMessage="0" allowBlank="1" type="list">
      <formula1>Lst_MedioPago</formula1>
    </dataValidation>
    <dataValidation sqref="H5:H104" showDropDown="0" showInputMessage="0" showErrorMessage="0" allowBlank="1" type="list">
      <formula1>Lst_Cuenta</formula1>
    </dataValidation>
    <dataValidation sqref="J5:J104" showDropDown="0" showInputMessage="0" showErrorMessage="0" allowBlank="1" type="whole">
      <formula1>1</formula1>
      <formula2>100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B7791F"/>
    <outlinePr summaryBelow="1" summaryRight="1"/>
    <pageSetUpPr/>
  </sheetPr>
  <dimension ref="A1:N8"/>
  <sheetViews>
    <sheetView workbookViewId="0">
      <selection activeCell="A1" sqref="A1"/>
    </sheetView>
  </sheetViews>
  <sheetFormatPr baseColWidth="10" defaultColWidth="9.140625" defaultRowHeight="15"/>
  <cols>
    <col width="22" customWidth="1" style="33" min="1" max="1"/>
    <col width="9" customWidth="1" style="33" min="2" max="13"/>
    <col width="11" customWidth="1" style="33" min="14" max="14"/>
  </cols>
  <sheetData>
    <row r="1" ht="21" customHeight="1" s="33">
      <c r="A1" s="1" t="inlineStr">
        <is>
          <t>INGRESOS</t>
        </is>
      </c>
    </row>
    <row r="2">
      <c r="A2" s="2" t="inlineStr">
        <is>
          <t>Detalle de Ingreso/Venta agrupado por categoria y mes</t>
        </is>
      </c>
    </row>
    <row r="3">
      <c r="A3" t="inlineStr">
        <is>
          <t>Año del reporte</t>
        </is>
      </c>
      <c r="B3" s="29" t="n">
        <v>2026</v>
      </c>
    </row>
    <row r="4" ht="27.95" customHeight="1" s="33">
      <c r="A4" s="30" t="inlineStr">
        <is>
          <t>Categoria</t>
        </is>
      </c>
      <c r="B4" s="30" t="inlineStr">
        <is>
          <t>Ene</t>
        </is>
      </c>
      <c r="C4" s="30" t="inlineStr">
        <is>
          <t>Feb</t>
        </is>
      </c>
      <c r="D4" s="30" t="inlineStr">
        <is>
          <t>Mar</t>
        </is>
      </c>
      <c r="E4" s="30" t="inlineStr">
        <is>
          <t>Abr</t>
        </is>
      </c>
      <c r="F4" s="30" t="inlineStr">
        <is>
          <t>May</t>
        </is>
      </c>
      <c r="G4" s="30" t="inlineStr">
        <is>
          <t>Jun</t>
        </is>
      </c>
      <c r="H4" s="30" t="inlineStr">
        <is>
          <t>Jul</t>
        </is>
      </c>
      <c r="I4" s="30" t="inlineStr">
        <is>
          <t>Ago</t>
        </is>
      </c>
      <c r="J4" s="30" t="inlineStr">
        <is>
          <t>Sep</t>
        </is>
      </c>
      <c r="K4" s="30" t="inlineStr">
        <is>
          <t>Oct</t>
        </is>
      </c>
      <c r="L4" s="30" t="inlineStr">
        <is>
          <t>Nov</t>
        </is>
      </c>
      <c r="M4" s="30" t="inlineStr">
        <is>
          <t>Dic</t>
        </is>
      </c>
      <c r="N4" s="30" t="inlineStr">
        <is>
          <t>Total</t>
        </is>
      </c>
    </row>
    <row r="5">
      <c r="A5" t="inlineStr">
        <is>
          <t>Ventas</t>
        </is>
      </c>
      <c r="B5" s="42">
        <f>SUMPRODUCT((MOVIMIENTOS!$H$5:$H$10004=$A5)*((MOVIMIENTOS!$C$5:$C$10004="Ingreso")+(MOVIMIENTOS!$C$5:$C$10004="Venta"))*(YEAR(MOVIMIENTOS!$B$5:$B$10004)=$B$3)*(MONTH(MOVIMIENTOS!$B$5:$B$10004)=1)*(MOVIMIENTOS!$P$5:$P$10004="Pagado")*MOVIMIENTOS!$O$5:$O$10004)</f>
        <v/>
      </c>
      <c r="C5" s="42">
        <f>SUMPRODUCT((MOVIMIENTOS!$H$5:$H$10004=$A5)*((MOVIMIENTOS!$C$5:$C$10004="Ingreso")+(MOVIMIENTOS!$C$5:$C$10004="Venta"))*(YEAR(MOVIMIENTOS!$B$5:$B$10004)=$B$3)*(MONTH(MOVIMIENTOS!$B$5:$B$10004)=2)*(MOVIMIENTOS!$P$5:$P$10004="Pagado")*MOVIMIENTOS!$O$5:$O$10004)</f>
        <v/>
      </c>
      <c r="D5" s="42">
        <f>SUMPRODUCT((MOVIMIENTOS!$H$5:$H$10004=$A5)*((MOVIMIENTOS!$C$5:$C$10004="Ingreso")+(MOVIMIENTOS!$C$5:$C$10004="Venta"))*(YEAR(MOVIMIENTOS!$B$5:$B$10004)=$B$3)*(MONTH(MOVIMIENTOS!$B$5:$B$10004)=3)*(MOVIMIENTOS!$P$5:$P$10004="Pagado")*MOVIMIENTOS!$O$5:$O$10004)</f>
        <v/>
      </c>
      <c r="E5" s="42">
        <f>SUMPRODUCT((MOVIMIENTOS!$H$5:$H$10004=$A5)*((MOVIMIENTOS!$C$5:$C$10004="Ingreso")+(MOVIMIENTOS!$C$5:$C$10004="Venta"))*(YEAR(MOVIMIENTOS!$B$5:$B$10004)=$B$3)*(MONTH(MOVIMIENTOS!$B$5:$B$10004)=4)*(MOVIMIENTOS!$P$5:$P$10004="Pagado")*MOVIMIENTOS!$O$5:$O$10004)</f>
        <v/>
      </c>
      <c r="F5" s="42">
        <f>SUMPRODUCT((MOVIMIENTOS!$H$5:$H$10004=$A5)*((MOVIMIENTOS!$C$5:$C$10004="Ingreso")+(MOVIMIENTOS!$C$5:$C$10004="Venta"))*(YEAR(MOVIMIENTOS!$B$5:$B$10004)=$B$3)*(MONTH(MOVIMIENTOS!$B$5:$B$10004)=5)*(MOVIMIENTOS!$P$5:$P$10004="Pagado")*MOVIMIENTOS!$O$5:$O$10004)</f>
        <v/>
      </c>
      <c r="G5" s="42">
        <f>SUMPRODUCT((MOVIMIENTOS!$H$5:$H$10004=$A5)*((MOVIMIENTOS!$C$5:$C$10004="Ingreso")+(MOVIMIENTOS!$C$5:$C$10004="Venta"))*(YEAR(MOVIMIENTOS!$B$5:$B$10004)=$B$3)*(MONTH(MOVIMIENTOS!$B$5:$B$10004)=6)*(MOVIMIENTOS!$P$5:$P$10004="Pagado")*MOVIMIENTOS!$O$5:$O$10004)</f>
        <v/>
      </c>
      <c r="H5" s="42">
        <f>SUMPRODUCT((MOVIMIENTOS!$H$5:$H$10004=$A5)*((MOVIMIENTOS!$C$5:$C$10004="Ingreso")+(MOVIMIENTOS!$C$5:$C$10004="Venta"))*(YEAR(MOVIMIENTOS!$B$5:$B$10004)=$B$3)*(MONTH(MOVIMIENTOS!$B$5:$B$10004)=7)*(MOVIMIENTOS!$P$5:$P$10004="Pagado")*MOVIMIENTOS!$O$5:$O$10004)</f>
        <v/>
      </c>
      <c r="I5" s="42">
        <f>SUMPRODUCT((MOVIMIENTOS!$H$5:$H$10004=$A5)*((MOVIMIENTOS!$C$5:$C$10004="Ingreso")+(MOVIMIENTOS!$C$5:$C$10004="Venta"))*(YEAR(MOVIMIENTOS!$B$5:$B$10004)=$B$3)*(MONTH(MOVIMIENTOS!$B$5:$B$10004)=8)*(MOVIMIENTOS!$P$5:$P$10004="Pagado")*MOVIMIENTOS!$O$5:$O$10004)</f>
        <v/>
      </c>
      <c r="J5" s="42">
        <f>SUMPRODUCT((MOVIMIENTOS!$H$5:$H$10004=$A5)*((MOVIMIENTOS!$C$5:$C$10004="Ingreso")+(MOVIMIENTOS!$C$5:$C$10004="Venta"))*(YEAR(MOVIMIENTOS!$B$5:$B$10004)=$B$3)*(MONTH(MOVIMIENTOS!$B$5:$B$10004)=9)*(MOVIMIENTOS!$P$5:$P$10004="Pagado")*MOVIMIENTOS!$O$5:$O$10004)</f>
        <v/>
      </c>
      <c r="K5" s="42">
        <f>SUMPRODUCT((MOVIMIENTOS!$H$5:$H$10004=$A5)*((MOVIMIENTOS!$C$5:$C$10004="Ingreso")+(MOVIMIENTOS!$C$5:$C$10004="Venta"))*(YEAR(MOVIMIENTOS!$B$5:$B$10004)=$B$3)*(MONTH(MOVIMIENTOS!$B$5:$B$10004)=10)*(MOVIMIENTOS!$P$5:$P$10004="Pagado")*MOVIMIENTOS!$O$5:$O$10004)</f>
        <v/>
      </c>
      <c r="L5" s="42">
        <f>SUMPRODUCT((MOVIMIENTOS!$H$5:$H$10004=$A5)*((MOVIMIENTOS!$C$5:$C$10004="Ingreso")+(MOVIMIENTOS!$C$5:$C$10004="Venta"))*(YEAR(MOVIMIENTOS!$B$5:$B$10004)=$B$3)*(MONTH(MOVIMIENTOS!$B$5:$B$10004)=11)*(MOVIMIENTOS!$P$5:$P$10004="Pagado")*MOVIMIENTOS!$O$5:$O$10004)</f>
        <v/>
      </c>
      <c r="M5" s="42">
        <f>SUMPRODUCT((MOVIMIENTOS!$H$5:$H$10004=$A5)*((MOVIMIENTOS!$C$5:$C$10004="Ingreso")+(MOVIMIENTOS!$C$5:$C$10004="Venta"))*(YEAR(MOVIMIENTOS!$B$5:$B$10004)=$B$3)*(MONTH(MOVIMIENTOS!$B$5:$B$10004)=12)*(MOVIMIENTOS!$P$5:$P$10004="Pagado")*MOVIMIENTOS!$O$5:$O$10004)</f>
        <v/>
      </c>
      <c r="N5" s="42">
        <f>SUM(B5:M5)</f>
        <v/>
      </c>
    </row>
    <row r="6">
      <c r="A6" t="inlineStr">
        <is>
          <t>Financiero</t>
        </is>
      </c>
      <c r="B6" s="42">
        <f>SUMPRODUCT((MOVIMIENTOS!$H$5:$H$10004=$A6)*((MOVIMIENTOS!$C$5:$C$10004="Ingreso")+(MOVIMIENTOS!$C$5:$C$10004="Venta"))*(YEAR(MOVIMIENTOS!$B$5:$B$10004)=$B$3)*(MONTH(MOVIMIENTOS!$B$5:$B$10004)=1)*(MOVIMIENTOS!$P$5:$P$10004="Pagado")*MOVIMIENTOS!$O$5:$O$10004)</f>
        <v/>
      </c>
      <c r="C6" s="42">
        <f>SUMPRODUCT((MOVIMIENTOS!$H$5:$H$10004=$A6)*((MOVIMIENTOS!$C$5:$C$10004="Ingreso")+(MOVIMIENTOS!$C$5:$C$10004="Venta"))*(YEAR(MOVIMIENTOS!$B$5:$B$10004)=$B$3)*(MONTH(MOVIMIENTOS!$B$5:$B$10004)=2)*(MOVIMIENTOS!$P$5:$P$10004="Pagado")*MOVIMIENTOS!$O$5:$O$10004)</f>
        <v/>
      </c>
      <c r="D6" s="42">
        <f>SUMPRODUCT((MOVIMIENTOS!$H$5:$H$10004=$A6)*((MOVIMIENTOS!$C$5:$C$10004="Ingreso")+(MOVIMIENTOS!$C$5:$C$10004="Venta"))*(YEAR(MOVIMIENTOS!$B$5:$B$10004)=$B$3)*(MONTH(MOVIMIENTOS!$B$5:$B$10004)=3)*(MOVIMIENTOS!$P$5:$P$10004="Pagado")*MOVIMIENTOS!$O$5:$O$10004)</f>
        <v/>
      </c>
      <c r="E6" s="42">
        <f>SUMPRODUCT((MOVIMIENTOS!$H$5:$H$10004=$A6)*((MOVIMIENTOS!$C$5:$C$10004="Ingreso")+(MOVIMIENTOS!$C$5:$C$10004="Venta"))*(YEAR(MOVIMIENTOS!$B$5:$B$10004)=$B$3)*(MONTH(MOVIMIENTOS!$B$5:$B$10004)=4)*(MOVIMIENTOS!$P$5:$P$10004="Pagado")*MOVIMIENTOS!$O$5:$O$10004)</f>
        <v/>
      </c>
      <c r="F6" s="42">
        <f>SUMPRODUCT((MOVIMIENTOS!$H$5:$H$10004=$A6)*((MOVIMIENTOS!$C$5:$C$10004="Ingreso")+(MOVIMIENTOS!$C$5:$C$10004="Venta"))*(YEAR(MOVIMIENTOS!$B$5:$B$10004)=$B$3)*(MONTH(MOVIMIENTOS!$B$5:$B$10004)=5)*(MOVIMIENTOS!$P$5:$P$10004="Pagado")*MOVIMIENTOS!$O$5:$O$10004)</f>
        <v/>
      </c>
      <c r="G6" s="42">
        <f>SUMPRODUCT((MOVIMIENTOS!$H$5:$H$10004=$A6)*((MOVIMIENTOS!$C$5:$C$10004="Ingreso")+(MOVIMIENTOS!$C$5:$C$10004="Venta"))*(YEAR(MOVIMIENTOS!$B$5:$B$10004)=$B$3)*(MONTH(MOVIMIENTOS!$B$5:$B$10004)=6)*(MOVIMIENTOS!$P$5:$P$10004="Pagado")*MOVIMIENTOS!$O$5:$O$10004)</f>
        <v/>
      </c>
      <c r="H6" s="42">
        <f>SUMPRODUCT((MOVIMIENTOS!$H$5:$H$10004=$A6)*((MOVIMIENTOS!$C$5:$C$10004="Ingreso")+(MOVIMIENTOS!$C$5:$C$10004="Venta"))*(YEAR(MOVIMIENTOS!$B$5:$B$10004)=$B$3)*(MONTH(MOVIMIENTOS!$B$5:$B$10004)=7)*(MOVIMIENTOS!$P$5:$P$10004="Pagado")*MOVIMIENTOS!$O$5:$O$10004)</f>
        <v/>
      </c>
      <c r="I6" s="42">
        <f>SUMPRODUCT((MOVIMIENTOS!$H$5:$H$10004=$A6)*((MOVIMIENTOS!$C$5:$C$10004="Ingreso")+(MOVIMIENTOS!$C$5:$C$10004="Venta"))*(YEAR(MOVIMIENTOS!$B$5:$B$10004)=$B$3)*(MONTH(MOVIMIENTOS!$B$5:$B$10004)=8)*(MOVIMIENTOS!$P$5:$P$10004="Pagado")*MOVIMIENTOS!$O$5:$O$10004)</f>
        <v/>
      </c>
      <c r="J6" s="42">
        <f>SUMPRODUCT((MOVIMIENTOS!$H$5:$H$10004=$A6)*((MOVIMIENTOS!$C$5:$C$10004="Ingreso")+(MOVIMIENTOS!$C$5:$C$10004="Venta"))*(YEAR(MOVIMIENTOS!$B$5:$B$10004)=$B$3)*(MONTH(MOVIMIENTOS!$B$5:$B$10004)=9)*(MOVIMIENTOS!$P$5:$P$10004="Pagado")*MOVIMIENTOS!$O$5:$O$10004)</f>
        <v/>
      </c>
      <c r="K6" s="42">
        <f>SUMPRODUCT((MOVIMIENTOS!$H$5:$H$10004=$A6)*((MOVIMIENTOS!$C$5:$C$10004="Ingreso")+(MOVIMIENTOS!$C$5:$C$10004="Venta"))*(YEAR(MOVIMIENTOS!$B$5:$B$10004)=$B$3)*(MONTH(MOVIMIENTOS!$B$5:$B$10004)=10)*(MOVIMIENTOS!$P$5:$P$10004="Pagado")*MOVIMIENTOS!$O$5:$O$10004)</f>
        <v/>
      </c>
      <c r="L6" s="42">
        <f>SUMPRODUCT((MOVIMIENTOS!$H$5:$H$10004=$A6)*((MOVIMIENTOS!$C$5:$C$10004="Ingreso")+(MOVIMIENTOS!$C$5:$C$10004="Venta"))*(YEAR(MOVIMIENTOS!$B$5:$B$10004)=$B$3)*(MONTH(MOVIMIENTOS!$B$5:$B$10004)=11)*(MOVIMIENTOS!$P$5:$P$10004="Pagado")*MOVIMIENTOS!$O$5:$O$10004)</f>
        <v/>
      </c>
      <c r="M6" s="42">
        <f>SUMPRODUCT((MOVIMIENTOS!$H$5:$H$10004=$A6)*((MOVIMIENTOS!$C$5:$C$10004="Ingreso")+(MOVIMIENTOS!$C$5:$C$10004="Venta"))*(YEAR(MOVIMIENTOS!$B$5:$B$10004)=$B$3)*(MONTH(MOVIMIENTOS!$B$5:$B$10004)=12)*(MOVIMIENTOS!$P$5:$P$10004="Pagado")*MOVIMIENTOS!$O$5:$O$10004)</f>
        <v/>
      </c>
      <c r="N6" s="42">
        <f>SUM(B6:M6)</f>
        <v/>
      </c>
    </row>
    <row r="7">
      <c r="A7" t="inlineStr">
        <is>
          <t>Productos</t>
        </is>
      </c>
      <c r="B7" s="42">
        <f>SUMPRODUCT((MOVIMIENTOS!$H$5:$H$10004=$A7)*((MOVIMIENTOS!$C$5:$C$10004="Ingreso")+(MOVIMIENTOS!$C$5:$C$10004="Venta"))*(YEAR(MOVIMIENTOS!$B$5:$B$10004)=$B$3)*(MONTH(MOVIMIENTOS!$B$5:$B$10004)=1)*(MOVIMIENTOS!$P$5:$P$10004="Pagado")*MOVIMIENTOS!$O$5:$O$10004)</f>
        <v/>
      </c>
      <c r="C7" s="42">
        <f>SUMPRODUCT((MOVIMIENTOS!$H$5:$H$10004=$A7)*((MOVIMIENTOS!$C$5:$C$10004="Ingreso")+(MOVIMIENTOS!$C$5:$C$10004="Venta"))*(YEAR(MOVIMIENTOS!$B$5:$B$10004)=$B$3)*(MONTH(MOVIMIENTOS!$B$5:$B$10004)=2)*(MOVIMIENTOS!$P$5:$P$10004="Pagado")*MOVIMIENTOS!$O$5:$O$10004)</f>
        <v/>
      </c>
      <c r="D7" s="42">
        <f>SUMPRODUCT((MOVIMIENTOS!$H$5:$H$10004=$A7)*((MOVIMIENTOS!$C$5:$C$10004="Ingreso")+(MOVIMIENTOS!$C$5:$C$10004="Venta"))*(YEAR(MOVIMIENTOS!$B$5:$B$10004)=$B$3)*(MONTH(MOVIMIENTOS!$B$5:$B$10004)=3)*(MOVIMIENTOS!$P$5:$P$10004="Pagado")*MOVIMIENTOS!$O$5:$O$10004)</f>
        <v/>
      </c>
      <c r="E7" s="42">
        <f>SUMPRODUCT((MOVIMIENTOS!$H$5:$H$10004=$A7)*((MOVIMIENTOS!$C$5:$C$10004="Ingreso")+(MOVIMIENTOS!$C$5:$C$10004="Venta"))*(YEAR(MOVIMIENTOS!$B$5:$B$10004)=$B$3)*(MONTH(MOVIMIENTOS!$B$5:$B$10004)=4)*(MOVIMIENTOS!$P$5:$P$10004="Pagado")*MOVIMIENTOS!$O$5:$O$10004)</f>
        <v/>
      </c>
      <c r="F7" s="42">
        <f>SUMPRODUCT((MOVIMIENTOS!$H$5:$H$10004=$A7)*((MOVIMIENTOS!$C$5:$C$10004="Ingreso")+(MOVIMIENTOS!$C$5:$C$10004="Venta"))*(YEAR(MOVIMIENTOS!$B$5:$B$10004)=$B$3)*(MONTH(MOVIMIENTOS!$B$5:$B$10004)=5)*(MOVIMIENTOS!$P$5:$P$10004="Pagado")*MOVIMIENTOS!$O$5:$O$10004)</f>
        <v/>
      </c>
      <c r="G7" s="42">
        <f>SUMPRODUCT((MOVIMIENTOS!$H$5:$H$10004=$A7)*((MOVIMIENTOS!$C$5:$C$10004="Ingreso")+(MOVIMIENTOS!$C$5:$C$10004="Venta"))*(YEAR(MOVIMIENTOS!$B$5:$B$10004)=$B$3)*(MONTH(MOVIMIENTOS!$B$5:$B$10004)=6)*(MOVIMIENTOS!$P$5:$P$10004="Pagado")*MOVIMIENTOS!$O$5:$O$10004)</f>
        <v/>
      </c>
      <c r="H7" s="42">
        <f>SUMPRODUCT((MOVIMIENTOS!$H$5:$H$10004=$A7)*((MOVIMIENTOS!$C$5:$C$10004="Ingreso")+(MOVIMIENTOS!$C$5:$C$10004="Venta"))*(YEAR(MOVIMIENTOS!$B$5:$B$10004)=$B$3)*(MONTH(MOVIMIENTOS!$B$5:$B$10004)=7)*(MOVIMIENTOS!$P$5:$P$10004="Pagado")*MOVIMIENTOS!$O$5:$O$10004)</f>
        <v/>
      </c>
      <c r="I7" s="42">
        <f>SUMPRODUCT((MOVIMIENTOS!$H$5:$H$10004=$A7)*((MOVIMIENTOS!$C$5:$C$10004="Ingreso")+(MOVIMIENTOS!$C$5:$C$10004="Venta"))*(YEAR(MOVIMIENTOS!$B$5:$B$10004)=$B$3)*(MONTH(MOVIMIENTOS!$B$5:$B$10004)=8)*(MOVIMIENTOS!$P$5:$P$10004="Pagado")*MOVIMIENTOS!$O$5:$O$10004)</f>
        <v/>
      </c>
      <c r="J7" s="42">
        <f>SUMPRODUCT((MOVIMIENTOS!$H$5:$H$10004=$A7)*((MOVIMIENTOS!$C$5:$C$10004="Ingreso")+(MOVIMIENTOS!$C$5:$C$10004="Venta"))*(YEAR(MOVIMIENTOS!$B$5:$B$10004)=$B$3)*(MONTH(MOVIMIENTOS!$B$5:$B$10004)=9)*(MOVIMIENTOS!$P$5:$P$10004="Pagado")*MOVIMIENTOS!$O$5:$O$10004)</f>
        <v/>
      </c>
      <c r="K7" s="42">
        <f>SUMPRODUCT((MOVIMIENTOS!$H$5:$H$10004=$A7)*((MOVIMIENTOS!$C$5:$C$10004="Ingreso")+(MOVIMIENTOS!$C$5:$C$10004="Venta"))*(YEAR(MOVIMIENTOS!$B$5:$B$10004)=$B$3)*(MONTH(MOVIMIENTOS!$B$5:$B$10004)=10)*(MOVIMIENTOS!$P$5:$P$10004="Pagado")*MOVIMIENTOS!$O$5:$O$10004)</f>
        <v/>
      </c>
      <c r="L7" s="42">
        <f>SUMPRODUCT((MOVIMIENTOS!$H$5:$H$10004=$A7)*((MOVIMIENTOS!$C$5:$C$10004="Ingreso")+(MOVIMIENTOS!$C$5:$C$10004="Venta"))*(YEAR(MOVIMIENTOS!$B$5:$B$10004)=$B$3)*(MONTH(MOVIMIENTOS!$B$5:$B$10004)=11)*(MOVIMIENTOS!$P$5:$P$10004="Pagado")*MOVIMIENTOS!$O$5:$O$10004)</f>
        <v/>
      </c>
      <c r="M7" s="42">
        <f>SUMPRODUCT((MOVIMIENTOS!$H$5:$H$10004=$A7)*((MOVIMIENTOS!$C$5:$C$10004="Ingreso")+(MOVIMIENTOS!$C$5:$C$10004="Venta"))*(YEAR(MOVIMIENTOS!$B$5:$B$10004)=$B$3)*(MONTH(MOVIMIENTOS!$B$5:$B$10004)=12)*(MOVIMIENTOS!$P$5:$P$10004="Pagado")*MOVIMIENTOS!$O$5:$O$10004)</f>
        <v/>
      </c>
      <c r="N7" s="42">
        <f>SUM(B7:M7)</f>
        <v/>
      </c>
    </row>
    <row r="8">
      <c r="A8" s="6" t="inlineStr">
        <is>
          <t>TOTAL</t>
        </is>
      </c>
      <c r="B8" s="45">
        <f>SUM(B5:B7)</f>
        <v/>
      </c>
      <c r="C8" s="45">
        <f>SUM(C5:C7)</f>
        <v/>
      </c>
      <c r="D8" s="45">
        <f>SUM(D5:D7)</f>
        <v/>
      </c>
      <c r="E8" s="45">
        <f>SUM(E5:E7)</f>
        <v/>
      </c>
      <c r="F8" s="45">
        <f>SUM(F5:F7)</f>
        <v/>
      </c>
      <c r="G8" s="45">
        <f>SUM(G5:G7)</f>
        <v/>
      </c>
      <c r="H8" s="45">
        <f>SUM(H5:H7)</f>
        <v/>
      </c>
      <c r="I8" s="45">
        <f>SUM(I5:I7)</f>
        <v/>
      </c>
      <c r="J8" s="45">
        <f>SUM(J5:J7)</f>
        <v/>
      </c>
      <c r="K8" s="45">
        <f>SUM(K5:K7)</f>
        <v/>
      </c>
      <c r="L8" s="45">
        <f>SUM(L5:L7)</f>
        <v/>
      </c>
      <c r="M8" s="45">
        <f>SUM(M5:M7)</f>
        <v/>
      </c>
      <c r="N8" s="45">
        <f>SUM(N5:N7)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B7791F"/>
    <outlinePr summaryBelow="1" summaryRight="1"/>
    <pageSetUpPr/>
  </sheetPr>
  <dimension ref="A1:N10"/>
  <sheetViews>
    <sheetView workbookViewId="0">
      <selection activeCell="A1" sqref="A1"/>
    </sheetView>
  </sheetViews>
  <sheetFormatPr baseColWidth="10" defaultColWidth="9.140625" defaultRowHeight="15"/>
  <cols>
    <col width="22" customWidth="1" style="33" min="1" max="1"/>
    <col width="9" customWidth="1" style="33" min="2" max="13"/>
    <col width="11" customWidth="1" style="33" min="14" max="14"/>
  </cols>
  <sheetData>
    <row r="1" ht="21" customHeight="1" s="33">
      <c r="A1" s="1" t="inlineStr">
        <is>
          <t>GASTOS</t>
        </is>
      </c>
    </row>
    <row r="2">
      <c r="A2" s="2" t="inlineStr">
        <is>
          <t>Detalle de Gasto/Compra agrupado por categoria y mes</t>
        </is>
      </c>
    </row>
    <row r="3">
      <c r="A3" t="inlineStr">
        <is>
          <t>Año del reporte</t>
        </is>
      </c>
      <c r="B3" s="29" t="n">
        <v>2026</v>
      </c>
    </row>
    <row r="4" ht="27.95" customHeight="1" s="33">
      <c r="A4" s="30" t="inlineStr">
        <is>
          <t>Categoria</t>
        </is>
      </c>
      <c r="B4" s="30" t="inlineStr">
        <is>
          <t>Ene</t>
        </is>
      </c>
      <c r="C4" s="30" t="inlineStr">
        <is>
          <t>Feb</t>
        </is>
      </c>
      <c r="D4" s="30" t="inlineStr">
        <is>
          <t>Mar</t>
        </is>
      </c>
      <c r="E4" s="30" t="inlineStr">
        <is>
          <t>Abr</t>
        </is>
      </c>
      <c r="F4" s="30" t="inlineStr">
        <is>
          <t>May</t>
        </is>
      </c>
      <c r="G4" s="30" t="inlineStr">
        <is>
          <t>Jun</t>
        </is>
      </c>
      <c r="H4" s="30" t="inlineStr">
        <is>
          <t>Jul</t>
        </is>
      </c>
      <c r="I4" s="30" t="inlineStr">
        <is>
          <t>Ago</t>
        </is>
      </c>
      <c r="J4" s="30" t="inlineStr">
        <is>
          <t>Sep</t>
        </is>
      </c>
      <c r="K4" s="30" t="inlineStr">
        <is>
          <t>Oct</t>
        </is>
      </c>
      <c r="L4" s="30" t="inlineStr">
        <is>
          <t>Nov</t>
        </is>
      </c>
      <c r="M4" s="30" t="inlineStr">
        <is>
          <t>Dic</t>
        </is>
      </c>
      <c r="N4" s="30" t="inlineStr">
        <is>
          <t>Total</t>
        </is>
      </c>
    </row>
    <row r="5">
      <c r="A5" t="inlineStr">
        <is>
          <t>Operacion</t>
        </is>
      </c>
      <c r="B5" s="42">
        <f>SUMPRODUCT((MOVIMIENTOS!$H$5:$H$10004=$A5)*((MOVIMIENTOS!$C$5:$C$10004="Gasto")+(MOVIMIENTOS!$C$5:$C$10004="Compra"))*(YEAR(MOVIMIENTOS!$B$5:$B$10004)=$B$3)*(MONTH(MOVIMIENTOS!$B$5:$B$10004)=1)*(MOVIMIENTOS!$P$5:$P$10004="Pagado")*MOVIMIENTOS!$O$5:$O$10004)</f>
        <v/>
      </c>
      <c r="C5" s="42">
        <f>SUMPRODUCT((MOVIMIENTOS!$H$5:$H$10004=$A5)*((MOVIMIENTOS!$C$5:$C$10004="Gasto")+(MOVIMIENTOS!$C$5:$C$10004="Compra"))*(YEAR(MOVIMIENTOS!$B$5:$B$10004)=$B$3)*(MONTH(MOVIMIENTOS!$B$5:$B$10004)=2)*(MOVIMIENTOS!$P$5:$P$10004="Pagado")*MOVIMIENTOS!$O$5:$O$10004)</f>
        <v/>
      </c>
      <c r="D5" s="42">
        <f>SUMPRODUCT((MOVIMIENTOS!$H$5:$H$10004=$A5)*((MOVIMIENTOS!$C$5:$C$10004="Gasto")+(MOVIMIENTOS!$C$5:$C$10004="Compra"))*(YEAR(MOVIMIENTOS!$B$5:$B$10004)=$B$3)*(MONTH(MOVIMIENTOS!$B$5:$B$10004)=3)*(MOVIMIENTOS!$P$5:$P$10004="Pagado")*MOVIMIENTOS!$O$5:$O$10004)</f>
        <v/>
      </c>
      <c r="E5" s="42">
        <f>SUMPRODUCT((MOVIMIENTOS!$H$5:$H$10004=$A5)*((MOVIMIENTOS!$C$5:$C$10004="Gasto")+(MOVIMIENTOS!$C$5:$C$10004="Compra"))*(YEAR(MOVIMIENTOS!$B$5:$B$10004)=$B$3)*(MONTH(MOVIMIENTOS!$B$5:$B$10004)=4)*(MOVIMIENTOS!$P$5:$P$10004="Pagado")*MOVIMIENTOS!$O$5:$O$10004)</f>
        <v/>
      </c>
      <c r="F5" s="42">
        <f>SUMPRODUCT((MOVIMIENTOS!$H$5:$H$10004=$A5)*((MOVIMIENTOS!$C$5:$C$10004="Gasto")+(MOVIMIENTOS!$C$5:$C$10004="Compra"))*(YEAR(MOVIMIENTOS!$B$5:$B$10004)=$B$3)*(MONTH(MOVIMIENTOS!$B$5:$B$10004)=5)*(MOVIMIENTOS!$P$5:$P$10004="Pagado")*MOVIMIENTOS!$O$5:$O$10004)</f>
        <v/>
      </c>
      <c r="G5" s="42">
        <f>SUMPRODUCT((MOVIMIENTOS!$H$5:$H$10004=$A5)*((MOVIMIENTOS!$C$5:$C$10004="Gasto")+(MOVIMIENTOS!$C$5:$C$10004="Compra"))*(YEAR(MOVIMIENTOS!$B$5:$B$10004)=$B$3)*(MONTH(MOVIMIENTOS!$B$5:$B$10004)=6)*(MOVIMIENTOS!$P$5:$P$10004="Pagado")*MOVIMIENTOS!$O$5:$O$10004)</f>
        <v/>
      </c>
      <c r="H5" s="42">
        <f>SUMPRODUCT((MOVIMIENTOS!$H$5:$H$10004=$A5)*((MOVIMIENTOS!$C$5:$C$10004="Gasto")+(MOVIMIENTOS!$C$5:$C$10004="Compra"))*(YEAR(MOVIMIENTOS!$B$5:$B$10004)=$B$3)*(MONTH(MOVIMIENTOS!$B$5:$B$10004)=7)*(MOVIMIENTOS!$P$5:$P$10004="Pagado")*MOVIMIENTOS!$O$5:$O$10004)</f>
        <v/>
      </c>
      <c r="I5" s="42">
        <f>SUMPRODUCT((MOVIMIENTOS!$H$5:$H$10004=$A5)*((MOVIMIENTOS!$C$5:$C$10004="Gasto")+(MOVIMIENTOS!$C$5:$C$10004="Compra"))*(YEAR(MOVIMIENTOS!$B$5:$B$10004)=$B$3)*(MONTH(MOVIMIENTOS!$B$5:$B$10004)=8)*(MOVIMIENTOS!$P$5:$P$10004="Pagado")*MOVIMIENTOS!$O$5:$O$10004)</f>
        <v/>
      </c>
      <c r="J5" s="42">
        <f>SUMPRODUCT((MOVIMIENTOS!$H$5:$H$10004=$A5)*((MOVIMIENTOS!$C$5:$C$10004="Gasto")+(MOVIMIENTOS!$C$5:$C$10004="Compra"))*(YEAR(MOVIMIENTOS!$B$5:$B$10004)=$B$3)*(MONTH(MOVIMIENTOS!$B$5:$B$10004)=9)*(MOVIMIENTOS!$P$5:$P$10004="Pagado")*MOVIMIENTOS!$O$5:$O$10004)</f>
        <v/>
      </c>
      <c r="K5" s="42">
        <f>SUMPRODUCT((MOVIMIENTOS!$H$5:$H$10004=$A5)*((MOVIMIENTOS!$C$5:$C$10004="Gasto")+(MOVIMIENTOS!$C$5:$C$10004="Compra"))*(YEAR(MOVIMIENTOS!$B$5:$B$10004)=$B$3)*(MONTH(MOVIMIENTOS!$B$5:$B$10004)=10)*(MOVIMIENTOS!$P$5:$P$10004="Pagado")*MOVIMIENTOS!$O$5:$O$10004)</f>
        <v/>
      </c>
      <c r="L5" s="42">
        <f>SUMPRODUCT((MOVIMIENTOS!$H$5:$H$10004=$A5)*((MOVIMIENTOS!$C$5:$C$10004="Gasto")+(MOVIMIENTOS!$C$5:$C$10004="Compra"))*(YEAR(MOVIMIENTOS!$B$5:$B$10004)=$B$3)*(MONTH(MOVIMIENTOS!$B$5:$B$10004)=11)*(MOVIMIENTOS!$P$5:$P$10004="Pagado")*MOVIMIENTOS!$O$5:$O$10004)</f>
        <v/>
      </c>
      <c r="M5" s="42">
        <f>SUMPRODUCT((MOVIMIENTOS!$H$5:$H$10004=$A5)*((MOVIMIENTOS!$C$5:$C$10004="Gasto")+(MOVIMIENTOS!$C$5:$C$10004="Compra"))*(YEAR(MOVIMIENTOS!$B$5:$B$10004)=$B$3)*(MONTH(MOVIMIENTOS!$B$5:$B$10004)=12)*(MOVIMIENTOS!$P$5:$P$10004="Pagado")*MOVIMIENTOS!$O$5:$O$10004)</f>
        <v/>
      </c>
      <c r="N5" s="42">
        <f>SUM(B5:M5)</f>
        <v/>
      </c>
    </row>
    <row r="6">
      <c r="A6" t="inlineStr">
        <is>
          <t>Administracion</t>
        </is>
      </c>
      <c r="B6" s="42">
        <f>SUMPRODUCT((MOVIMIENTOS!$H$5:$H$10004=$A6)*((MOVIMIENTOS!$C$5:$C$10004="Gasto")+(MOVIMIENTOS!$C$5:$C$10004="Compra"))*(YEAR(MOVIMIENTOS!$B$5:$B$10004)=$B$3)*(MONTH(MOVIMIENTOS!$B$5:$B$10004)=1)*(MOVIMIENTOS!$P$5:$P$10004="Pagado")*MOVIMIENTOS!$O$5:$O$10004)</f>
        <v/>
      </c>
      <c r="C6" s="42">
        <f>SUMPRODUCT((MOVIMIENTOS!$H$5:$H$10004=$A6)*((MOVIMIENTOS!$C$5:$C$10004="Gasto")+(MOVIMIENTOS!$C$5:$C$10004="Compra"))*(YEAR(MOVIMIENTOS!$B$5:$B$10004)=$B$3)*(MONTH(MOVIMIENTOS!$B$5:$B$10004)=2)*(MOVIMIENTOS!$P$5:$P$10004="Pagado")*MOVIMIENTOS!$O$5:$O$10004)</f>
        <v/>
      </c>
      <c r="D6" s="42">
        <f>SUMPRODUCT((MOVIMIENTOS!$H$5:$H$10004=$A6)*((MOVIMIENTOS!$C$5:$C$10004="Gasto")+(MOVIMIENTOS!$C$5:$C$10004="Compra"))*(YEAR(MOVIMIENTOS!$B$5:$B$10004)=$B$3)*(MONTH(MOVIMIENTOS!$B$5:$B$10004)=3)*(MOVIMIENTOS!$P$5:$P$10004="Pagado")*MOVIMIENTOS!$O$5:$O$10004)</f>
        <v/>
      </c>
      <c r="E6" s="42">
        <f>SUMPRODUCT((MOVIMIENTOS!$H$5:$H$10004=$A6)*((MOVIMIENTOS!$C$5:$C$10004="Gasto")+(MOVIMIENTOS!$C$5:$C$10004="Compra"))*(YEAR(MOVIMIENTOS!$B$5:$B$10004)=$B$3)*(MONTH(MOVIMIENTOS!$B$5:$B$10004)=4)*(MOVIMIENTOS!$P$5:$P$10004="Pagado")*MOVIMIENTOS!$O$5:$O$10004)</f>
        <v/>
      </c>
      <c r="F6" s="42">
        <f>SUMPRODUCT((MOVIMIENTOS!$H$5:$H$10004=$A6)*((MOVIMIENTOS!$C$5:$C$10004="Gasto")+(MOVIMIENTOS!$C$5:$C$10004="Compra"))*(YEAR(MOVIMIENTOS!$B$5:$B$10004)=$B$3)*(MONTH(MOVIMIENTOS!$B$5:$B$10004)=5)*(MOVIMIENTOS!$P$5:$P$10004="Pagado")*MOVIMIENTOS!$O$5:$O$10004)</f>
        <v/>
      </c>
      <c r="G6" s="42">
        <f>SUMPRODUCT((MOVIMIENTOS!$H$5:$H$10004=$A6)*((MOVIMIENTOS!$C$5:$C$10004="Gasto")+(MOVIMIENTOS!$C$5:$C$10004="Compra"))*(YEAR(MOVIMIENTOS!$B$5:$B$10004)=$B$3)*(MONTH(MOVIMIENTOS!$B$5:$B$10004)=6)*(MOVIMIENTOS!$P$5:$P$10004="Pagado")*MOVIMIENTOS!$O$5:$O$10004)</f>
        <v/>
      </c>
      <c r="H6" s="42">
        <f>SUMPRODUCT((MOVIMIENTOS!$H$5:$H$10004=$A6)*((MOVIMIENTOS!$C$5:$C$10004="Gasto")+(MOVIMIENTOS!$C$5:$C$10004="Compra"))*(YEAR(MOVIMIENTOS!$B$5:$B$10004)=$B$3)*(MONTH(MOVIMIENTOS!$B$5:$B$10004)=7)*(MOVIMIENTOS!$P$5:$P$10004="Pagado")*MOVIMIENTOS!$O$5:$O$10004)</f>
        <v/>
      </c>
      <c r="I6" s="42">
        <f>SUMPRODUCT((MOVIMIENTOS!$H$5:$H$10004=$A6)*((MOVIMIENTOS!$C$5:$C$10004="Gasto")+(MOVIMIENTOS!$C$5:$C$10004="Compra"))*(YEAR(MOVIMIENTOS!$B$5:$B$10004)=$B$3)*(MONTH(MOVIMIENTOS!$B$5:$B$10004)=8)*(MOVIMIENTOS!$P$5:$P$10004="Pagado")*MOVIMIENTOS!$O$5:$O$10004)</f>
        <v/>
      </c>
      <c r="J6" s="42">
        <f>SUMPRODUCT((MOVIMIENTOS!$H$5:$H$10004=$A6)*((MOVIMIENTOS!$C$5:$C$10004="Gasto")+(MOVIMIENTOS!$C$5:$C$10004="Compra"))*(YEAR(MOVIMIENTOS!$B$5:$B$10004)=$B$3)*(MONTH(MOVIMIENTOS!$B$5:$B$10004)=9)*(MOVIMIENTOS!$P$5:$P$10004="Pagado")*MOVIMIENTOS!$O$5:$O$10004)</f>
        <v/>
      </c>
      <c r="K6" s="42">
        <f>SUMPRODUCT((MOVIMIENTOS!$H$5:$H$10004=$A6)*((MOVIMIENTOS!$C$5:$C$10004="Gasto")+(MOVIMIENTOS!$C$5:$C$10004="Compra"))*(YEAR(MOVIMIENTOS!$B$5:$B$10004)=$B$3)*(MONTH(MOVIMIENTOS!$B$5:$B$10004)=10)*(MOVIMIENTOS!$P$5:$P$10004="Pagado")*MOVIMIENTOS!$O$5:$O$10004)</f>
        <v/>
      </c>
      <c r="L6" s="42">
        <f>SUMPRODUCT((MOVIMIENTOS!$H$5:$H$10004=$A6)*((MOVIMIENTOS!$C$5:$C$10004="Gasto")+(MOVIMIENTOS!$C$5:$C$10004="Compra"))*(YEAR(MOVIMIENTOS!$B$5:$B$10004)=$B$3)*(MONTH(MOVIMIENTOS!$B$5:$B$10004)=11)*(MOVIMIENTOS!$P$5:$P$10004="Pagado")*MOVIMIENTOS!$O$5:$O$10004)</f>
        <v/>
      </c>
      <c r="M6" s="42">
        <f>SUMPRODUCT((MOVIMIENTOS!$H$5:$H$10004=$A6)*((MOVIMIENTOS!$C$5:$C$10004="Gasto")+(MOVIMIENTOS!$C$5:$C$10004="Compra"))*(YEAR(MOVIMIENTOS!$B$5:$B$10004)=$B$3)*(MONTH(MOVIMIENTOS!$B$5:$B$10004)=12)*(MOVIMIENTOS!$P$5:$P$10004="Pagado")*MOVIMIENTOS!$O$5:$O$10004)</f>
        <v/>
      </c>
      <c r="N6" s="42">
        <f>SUM(B6:M6)</f>
        <v/>
      </c>
    </row>
    <row r="7">
      <c r="A7" t="inlineStr">
        <is>
          <t>Nomina</t>
        </is>
      </c>
      <c r="B7" s="42">
        <f>SUMPRODUCT((MOVIMIENTOS!$H$5:$H$10004=$A7)*((MOVIMIENTOS!$C$5:$C$10004="Gasto")+(MOVIMIENTOS!$C$5:$C$10004="Compra"))*(YEAR(MOVIMIENTOS!$B$5:$B$10004)=$B$3)*(MONTH(MOVIMIENTOS!$B$5:$B$10004)=1)*(MOVIMIENTOS!$P$5:$P$10004="Pagado")*MOVIMIENTOS!$O$5:$O$10004)</f>
        <v/>
      </c>
      <c r="C7" s="42">
        <f>SUMPRODUCT((MOVIMIENTOS!$H$5:$H$10004=$A7)*((MOVIMIENTOS!$C$5:$C$10004="Gasto")+(MOVIMIENTOS!$C$5:$C$10004="Compra"))*(YEAR(MOVIMIENTOS!$B$5:$B$10004)=$B$3)*(MONTH(MOVIMIENTOS!$B$5:$B$10004)=2)*(MOVIMIENTOS!$P$5:$P$10004="Pagado")*MOVIMIENTOS!$O$5:$O$10004)</f>
        <v/>
      </c>
      <c r="D7" s="42">
        <f>SUMPRODUCT((MOVIMIENTOS!$H$5:$H$10004=$A7)*((MOVIMIENTOS!$C$5:$C$10004="Gasto")+(MOVIMIENTOS!$C$5:$C$10004="Compra"))*(YEAR(MOVIMIENTOS!$B$5:$B$10004)=$B$3)*(MONTH(MOVIMIENTOS!$B$5:$B$10004)=3)*(MOVIMIENTOS!$P$5:$P$10004="Pagado")*MOVIMIENTOS!$O$5:$O$10004)</f>
        <v/>
      </c>
      <c r="E7" s="42">
        <f>SUMPRODUCT((MOVIMIENTOS!$H$5:$H$10004=$A7)*((MOVIMIENTOS!$C$5:$C$10004="Gasto")+(MOVIMIENTOS!$C$5:$C$10004="Compra"))*(YEAR(MOVIMIENTOS!$B$5:$B$10004)=$B$3)*(MONTH(MOVIMIENTOS!$B$5:$B$10004)=4)*(MOVIMIENTOS!$P$5:$P$10004="Pagado")*MOVIMIENTOS!$O$5:$O$10004)</f>
        <v/>
      </c>
      <c r="F7" s="42">
        <f>SUMPRODUCT((MOVIMIENTOS!$H$5:$H$10004=$A7)*((MOVIMIENTOS!$C$5:$C$10004="Gasto")+(MOVIMIENTOS!$C$5:$C$10004="Compra"))*(YEAR(MOVIMIENTOS!$B$5:$B$10004)=$B$3)*(MONTH(MOVIMIENTOS!$B$5:$B$10004)=5)*(MOVIMIENTOS!$P$5:$P$10004="Pagado")*MOVIMIENTOS!$O$5:$O$10004)</f>
        <v/>
      </c>
      <c r="G7" s="42">
        <f>SUMPRODUCT((MOVIMIENTOS!$H$5:$H$10004=$A7)*((MOVIMIENTOS!$C$5:$C$10004="Gasto")+(MOVIMIENTOS!$C$5:$C$10004="Compra"))*(YEAR(MOVIMIENTOS!$B$5:$B$10004)=$B$3)*(MONTH(MOVIMIENTOS!$B$5:$B$10004)=6)*(MOVIMIENTOS!$P$5:$P$10004="Pagado")*MOVIMIENTOS!$O$5:$O$10004)</f>
        <v/>
      </c>
      <c r="H7" s="42">
        <f>SUMPRODUCT((MOVIMIENTOS!$H$5:$H$10004=$A7)*((MOVIMIENTOS!$C$5:$C$10004="Gasto")+(MOVIMIENTOS!$C$5:$C$10004="Compra"))*(YEAR(MOVIMIENTOS!$B$5:$B$10004)=$B$3)*(MONTH(MOVIMIENTOS!$B$5:$B$10004)=7)*(MOVIMIENTOS!$P$5:$P$10004="Pagado")*MOVIMIENTOS!$O$5:$O$10004)</f>
        <v/>
      </c>
      <c r="I7" s="42">
        <f>SUMPRODUCT((MOVIMIENTOS!$H$5:$H$10004=$A7)*((MOVIMIENTOS!$C$5:$C$10004="Gasto")+(MOVIMIENTOS!$C$5:$C$10004="Compra"))*(YEAR(MOVIMIENTOS!$B$5:$B$10004)=$B$3)*(MONTH(MOVIMIENTOS!$B$5:$B$10004)=8)*(MOVIMIENTOS!$P$5:$P$10004="Pagado")*MOVIMIENTOS!$O$5:$O$10004)</f>
        <v/>
      </c>
      <c r="J7" s="42">
        <f>SUMPRODUCT((MOVIMIENTOS!$H$5:$H$10004=$A7)*((MOVIMIENTOS!$C$5:$C$10004="Gasto")+(MOVIMIENTOS!$C$5:$C$10004="Compra"))*(YEAR(MOVIMIENTOS!$B$5:$B$10004)=$B$3)*(MONTH(MOVIMIENTOS!$B$5:$B$10004)=9)*(MOVIMIENTOS!$P$5:$P$10004="Pagado")*MOVIMIENTOS!$O$5:$O$10004)</f>
        <v/>
      </c>
      <c r="K7" s="42">
        <f>SUMPRODUCT((MOVIMIENTOS!$H$5:$H$10004=$A7)*((MOVIMIENTOS!$C$5:$C$10004="Gasto")+(MOVIMIENTOS!$C$5:$C$10004="Compra"))*(YEAR(MOVIMIENTOS!$B$5:$B$10004)=$B$3)*(MONTH(MOVIMIENTOS!$B$5:$B$10004)=10)*(MOVIMIENTOS!$P$5:$P$10004="Pagado")*MOVIMIENTOS!$O$5:$O$10004)</f>
        <v/>
      </c>
      <c r="L7" s="42">
        <f>SUMPRODUCT((MOVIMIENTOS!$H$5:$H$10004=$A7)*((MOVIMIENTOS!$C$5:$C$10004="Gasto")+(MOVIMIENTOS!$C$5:$C$10004="Compra"))*(YEAR(MOVIMIENTOS!$B$5:$B$10004)=$B$3)*(MONTH(MOVIMIENTOS!$B$5:$B$10004)=11)*(MOVIMIENTOS!$P$5:$P$10004="Pagado")*MOVIMIENTOS!$O$5:$O$10004)</f>
        <v/>
      </c>
      <c r="M7" s="42">
        <f>SUMPRODUCT((MOVIMIENTOS!$H$5:$H$10004=$A7)*((MOVIMIENTOS!$C$5:$C$10004="Gasto")+(MOVIMIENTOS!$C$5:$C$10004="Compra"))*(YEAR(MOVIMIENTOS!$B$5:$B$10004)=$B$3)*(MONTH(MOVIMIENTOS!$B$5:$B$10004)=12)*(MOVIMIENTOS!$P$5:$P$10004="Pagado")*MOVIMIENTOS!$O$5:$O$10004)</f>
        <v/>
      </c>
      <c r="N7" s="42">
        <f>SUM(B7:M7)</f>
        <v/>
      </c>
    </row>
    <row r="8">
      <c r="A8" t="inlineStr">
        <is>
          <t>Inventario</t>
        </is>
      </c>
      <c r="B8" s="42">
        <f>SUMPRODUCT((MOVIMIENTOS!$H$5:$H$10004=$A8)*((MOVIMIENTOS!$C$5:$C$10004="Gasto")+(MOVIMIENTOS!$C$5:$C$10004="Compra"))*(YEAR(MOVIMIENTOS!$B$5:$B$10004)=$B$3)*(MONTH(MOVIMIENTOS!$B$5:$B$10004)=1)*(MOVIMIENTOS!$P$5:$P$10004="Pagado")*MOVIMIENTOS!$O$5:$O$10004)</f>
        <v/>
      </c>
      <c r="C8" s="42">
        <f>SUMPRODUCT((MOVIMIENTOS!$H$5:$H$10004=$A8)*((MOVIMIENTOS!$C$5:$C$10004="Gasto")+(MOVIMIENTOS!$C$5:$C$10004="Compra"))*(YEAR(MOVIMIENTOS!$B$5:$B$10004)=$B$3)*(MONTH(MOVIMIENTOS!$B$5:$B$10004)=2)*(MOVIMIENTOS!$P$5:$P$10004="Pagado")*MOVIMIENTOS!$O$5:$O$10004)</f>
        <v/>
      </c>
      <c r="D8" s="42">
        <f>SUMPRODUCT((MOVIMIENTOS!$H$5:$H$10004=$A8)*((MOVIMIENTOS!$C$5:$C$10004="Gasto")+(MOVIMIENTOS!$C$5:$C$10004="Compra"))*(YEAR(MOVIMIENTOS!$B$5:$B$10004)=$B$3)*(MONTH(MOVIMIENTOS!$B$5:$B$10004)=3)*(MOVIMIENTOS!$P$5:$P$10004="Pagado")*MOVIMIENTOS!$O$5:$O$10004)</f>
        <v/>
      </c>
      <c r="E8" s="42">
        <f>SUMPRODUCT((MOVIMIENTOS!$H$5:$H$10004=$A8)*((MOVIMIENTOS!$C$5:$C$10004="Gasto")+(MOVIMIENTOS!$C$5:$C$10004="Compra"))*(YEAR(MOVIMIENTOS!$B$5:$B$10004)=$B$3)*(MONTH(MOVIMIENTOS!$B$5:$B$10004)=4)*(MOVIMIENTOS!$P$5:$P$10004="Pagado")*MOVIMIENTOS!$O$5:$O$10004)</f>
        <v/>
      </c>
      <c r="F8" s="42">
        <f>SUMPRODUCT((MOVIMIENTOS!$H$5:$H$10004=$A8)*((MOVIMIENTOS!$C$5:$C$10004="Gasto")+(MOVIMIENTOS!$C$5:$C$10004="Compra"))*(YEAR(MOVIMIENTOS!$B$5:$B$10004)=$B$3)*(MONTH(MOVIMIENTOS!$B$5:$B$10004)=5)*(MOVIMIENTOS!$P$5:$P$10004="Pagado")*MOVIMIENTOS!$O$5:$O$10004)</f>
        <v/>
      </c>
      <c r="G8" s="42">
        <f>SUMPRODUCT((MOVIMIENTOS!$H$5:$H$10004=$A8)*((MOVIMIENTOS!$C$5:$C$10004="Gasto")+(MOVIMIENTOS!$C$5:$C$10004="Compra"))*(YEAR(MOVIMIENTOS!$B$5:$B$10004)=$B$3)*(MONTH(MOVIMIENTOS!$B$5:$B$10004)=6)*(MOVIMIENTOS!$P$5:$P$10004="Pagado")*MOVIMIENTOS!$O$5:$O$10004)</f>
        <v/>
      </c>
      <c r="H8" s="42">
        <f>SUMPRODUCT((MOVIMIENTOS!$H$5:$H$10004=$A8)*((MOVIMIENTOS!$C$5:$C$10004="Gasto")+(MOVIMIENTOS!$C$5:$C$10004="Compra"))*(YEAR(MOVIMIENTOS!$B$5:$B$10004)=$B$3)*(MONTH(MOVIMIENTOS!$B$5:$B$10004)=7)*(MOVIMIENTOS!$P$5:$P$10004="Pagado")*MOVIMIENTOS!$O$5:$O$10004)</f>
        <v/>
      </c>
      <c r="I8" s="42">
        <f>SUMPRODUCT((MOVIMIENTOS!$H$5:$H$10004=$A8)*((MOVIMIENTOS!$C$5:$C$10004="Gasto")+(MOVIMIENTOS!$C$5:$C$10004="Compra"))*(YEAR(MOVIMIENTOS!$B$5:$B$10004)=$B$3)*(MONTH(MOVIMIENTOS!$B$5:$B$10004)=8)*(MOVIMIENTOS!$P$5:$P$10004="Pagado")*MOVIMIENTOS!$O$5:$O$10004)</f>
        <v/>
      </c>
      <c r="J8" s="42">
        <f>SUMPRODUCT((MOVIMIENTOS!$H$5:$H$10004=$A8)*((MOVIMIENTOS!$C$5:$C$10004="Gasto")+(MOVIMIENTOS!$C$5:$C$10004="Compra"))*(YEAR(MOVIMIENTOS!$B$5:$B$10004)=$B$3)*(MONTH(MOVIMIENTOS!$B$5:$B$10004)=9)*(MOVIMIENTOS!$P$5:$P$10004="Pagado")*MOVIMIENTOS!$O$5:$O$10004)</f>
        <v/>
      </c>
      <c r="K8" s="42">
        <f>SUMPRODUCT((MOVIMIENTOS!$H$5:$H$10004=$A8)*((MOVIMIENTOS!$C$5:$C$10004="Gasto")+(MOVIMIENTOS!$C$5:$C$10004="Compra"))*(YEAR(MOVIMIENTOS!$B$5:$B$10004)=$B$3)*(MONTH(MOVIMIENTOS!$B$5:$B$10004)=10)*(MOVIMIENTOS!$P$5:$P$10004="Pagado")*MOVIMIENTOS!$O$5:$O$10004)</f>
        <v/>
      </c>
      <c r="L8" s="42">
        <f>SUMPRODUCT((MOVIMIENTOS!$H$5:$H$10004=$A8)*((MOVIMIENTOS!$C$5:$C$10004="Gasto")+(MOVIMIENTOS!$C$5:$C$10004="Compra"))*(YEAR(MOVIMIENTOS!$B$5:$B$10004)=$B$3)*(MONTH(MOVIMIENTOS!$B$5:$B$10004)=11)*(MOVIMIENTOS!$P$5:$P$10004="Pagado")*MOVIMIENTOS!$O$5:$O$10004)</f>
        <v/>
      </c>
      <c r="M8" s="42">
        <f>SUMPRODUCT((MOVIMIENTOS!$H$5:$H$10004=$A8)*((MOVIMIENTOS!$C$5:$C$10004="Gasto")+(MOVIMIENTOS!$C$5:$C$10004="Compra"))*(YEAR(MOVIMIENTOS!$B$5:$B$10004)=$B$3)*(MONTH(MOVIMIENTOS!$B$5:$B$10004)=12)*(MOVIMIENTOS!$P$5:$P$10004="Pagado")*MOVIMIENTOS!$O$5:$O$10004)</f>
        <v/>
      </c>
      <c r="N8" s="42">
        <f>SUM(B8:M8)</f>
        <v/>
      </c>
    </row>
    <row r="9">
      <c r="A9" t="inlineStr">
        <is>
          <t>Activos</t>
        </is>
      </c>
      <c r="B9" s="42">
        <f>SUMPRODUCT((MOVIMIENTOS!$H$5:$H$10004=$A9)*((MOVIMIENTOS!$C$5:$C$10004="Gasto")+(MOVIMIENTOS!$C$5:$C$10004="Compra"))*(YEAR(MOVIMIENTOS!$B$5:$B$10004)=$B$3)*(MONTH(MOVIMIENTOS!$B$5:$B$10004)=1)*(MOVIMIENTOS!$P$5:$P$10004="Pagado")*MOVIMIENTOS!$O$5:$O$10004)</f>
        <v/>
      </c>
      <c r="C9" s="42">
        <f>SUMPRODUCT((MOVIMIENTOS!$H$5:$H$10004=$A9)*((MOVIMIENTOS!$C$5:$C$10004="Gasto")+(MOVIMIENTOS!$C$5:$C$10004="Compra"))*(YEAR(MOVIMIENTOS!$B$5:$B$10004)=$B$3)*(MONTH(MOVIMIENTOS!$B$5:$B$10004)=2)*(MOVIMIENTOS!$P$5:$P$10004="Pagado")*MOVIMIENTOS!$O$5:$O$10004)</f>
        <v/>
      </c>
      <c r="D9" s="42">
        <f>SUMPRODUCT((MOVIMIENTOS!$H$5:$H$10004=$A9)*((MOVIMIENTOS!$C$5:$C$10004="Gasto")+(MOVIMIENTOS!$C$5:$C$10004="Compra"))*(YEAR(MOVIMIENTOS!$B$5:$B$10004)=$B$3)*(MONTH(MOVIMIENTOS!$B$5:$B$10004)=3)*(MOVIMIENTOS!$P$5:$P$10004="Pagado")*MOVIMIENTOS!$O$5:$O$10004)</f>
        <v/>
      </c>
      <c r="E9" s="42">
        <f>SUMPRODUCT((MOVIMIENTOS!$H$5:$H$10004=$A9)*((MOVIMIENTOS!$C$5:$C$10004="Gasto")+(MOVIMIENTOS!$C$5:$C$10004="Compra"))*(YEAR(MOVIMIENTOS!$B$5:$B$10004)=$B$3)*(MONTH(MOVIMIENTOS!$B$5:$B$10004)=4)*(MOVIMIENTOS!$P$5:$P$10004="Pagado")*MOVIMIENTOS!$O$5:$O$10004)</f>
        <v/>
      </c>
      <c r="F9" s="42">
        <f>SUMPRODUCT((MOVIMIENTOS!$H$5:$H$10004=$A9)*((MOVIMIENTOS!$C$5:$C$10004="Gasto")+(MOVIMIENTOS!$C$5:$C$10004="Compra"))*(YEAR(MOVIMIENTOS!$B$5:$B$10004)=$B$3)*(MONTH(MOVIMIENTOS!$B$5:$B$10004)=5)*(MOVIMIENTOS!$P$5:$P$10004="Pagado")*MOVIMIENTOS!$O$5:$O$10004)</f>
        <v/>
      </c>
      <c r="G9" s="42">
        <f>SUMPRODUCT((MOVIMIENTOS!$H$5:$H$10004=$A9)*((MOVIMIENTOS!$C$5:$C$10004="Gasto")+(MOVIMIENTOS!$C$5:$C$10004="Compra"))*(YEAR(MOVIMIENTOS!$B$5:$B$10004)=$B$3)*(MONTH(MOVIMIENTOS!$B$5:$B$10004)=6)*(MOVIMIENTOS!$P$5:$P$10004="Pagado")*MOVIMIENTOS!$O$5:$O$10004)</f>
        <v/>
      </c>
      <c r="H9" s="42">
        <f>SUMPRODUCT((MOVIMIENTOS!$H$5:$H$10004=$A9)*((MOVIMIENTOS!$C$5:$C$10004="Gasto")+(MOVIMIENTOS!$C$5:$C$10004="Compra"))*(YEAR(MOVIMIENTOS!$B$5:$B$10004)=$B$3)*(MONTH(MOVIMIENTOS!$B$5:$B$10004)=7)*(MOVIMIENTOS!$P$5:$P$10004="Pagado")*MOVIMIENTOS!$O$5:$O$10004)</f>
        <v/>
      </c>
      <c r="I9" s="42">
        <f>SUMPRODUCT((MOVIMIENTOS!$H$5:$H$10004=$A9)*((MOVIMIENTOS!$C$5:$C$10004="Gasto")+(MOVIMIENTOS!$C$5:$C$10004="Compra"))*(YEAR(MOVIMIENTOS!$B$5:$B$10004)=$B$3)*(MONTH(MOVIMIENTOS!$B$5:$B$10004)=8)*(MOVIMIENTOS!$P$5:$P$10004="Pagado")*MOVIMIENTOS!$O$5:$O$10004)</f>
        <v/>
      </c>
      <c r="J9" s="42">
        <f>SUMPRODUCT((MOVIMIENTOS!$H$5:$H$10004=$A9)*((MOVIMIENTOS!$C$5:$C$10004="Gasto")+(MOVIMIENTOS!$C$5:$C$10004="Compra"))*(YEAR(MOVIMIENTOS!$B$5:$B$10004)=$B$3)*(MONTH(MOVIMIENTOS!$B$5:$B$10004)=9)*(MOVIMIENTOS!$P$5:$P$10004="Pagado")*MOVIMIENTOS!$O$5:$O$10004)</f>
        <v/>
      </c>
      <c r="K9" s="42">
        <f>SUMPRODUCT((MOVIMIENTOS!$H$5:$H$10004=$A9)*((MOVIMIENTOS!$C$5:$C$10004="Gasto")+(MOVIMIENTOS!$C$5:$C$10004="Compra"))*(YEAR(MOVIMIENTOS!$B$5:$B$10004)=$B$3)*(MONTH(MOVIMIENTOS!$B$5:$B$10004)=10)*(MOVIMIENTOS!$P$5:$P$10004="Pagado")*MOVIMIENTOS!$O$5:$O$10004)</f>
        <v/>
      </c>
      <c r="L9" s="42">
        <f>SUMPRODUCT((MOVIMIENTOS!$H$5:$H$10004=$A9)*((MOVIMIENTOS!$C$5:$C$10004="Gasto")+(MOVIMIENTOS!$C$5:$C$10004="Compra"))*(YEAR(MOVIMIENTOS!$B$5:$B$10004)=$B$3)*(MONTH(MOVIMIENTOS!$B$5:$B$10004)=11)*(MOVIMIENTOS!$P$5:$P$10004="Pagado")*MOVIMIENTOS!$O$5:$O$10004)</f>
        <v/>
      </c>
      <c r="M9" s="42">
        <f>SUMPRODUCT((MOVIMIENTOS!$H$5:$H$10004=$A9)*((MOVIMIENTOS!$C$5:$C$10004="Gasto")+(MOVIMIENTOS!$C$5:$C$10004="Compra"))*(YEAR(MOVIMIENTOS!$B$5:$B$10004)=$B$3)*(MONTH(MOVIMIENTOS!$B$5:$B$10004)=12)*(MOVIMIENTOS!$P$5:$P$10004="Pagado")*MOVIMIENTOS!$O$5:$O$10004)</f>
        <v/>
      </c>
      <c r="N9" s="42">
        <f>SUM(B9:M9)</f>
        <v/>
      </c>
    </row>
    <row r="10">
      <c r="A10" s="6" t="inlineStr">
        <is>
          <t>TOTAL</t>
        </is>
      </c>
      <c r="B10" s="45">
        <f>SUM(B5:B9)</f>
        <v/>
      </c>
      <c r="C10" s="45">
        <f>SUM(C5:C9)</f>
        <v/>
      </c>
      <c r="D10" s="45">
        <f>SUM(D5:D9)</f>
        <v/>
      </c>
      <c r="E10" s="45">
        <f>SUM(E5:E9)</f>
        <v/>
      </c>
      <c r="F10" s="45">
        <f>SUM(F5:F9)</f>
        <v/>
      </c>
      <c r="G10" s="45">
        <f>SUM(G5:G9)</f>
        <v/>
      </c>
      <c r="H10" s="45">
        <f>SUM(H5:H9)</f>
        <v/>
      </c>
      <c r="I10" s="45">
        <f>SUM(I5:I9)</f>
        <v/>
      </c>
      <c r="J10" s="45">
        <f>SUM(J5:J9)</f>
        <v/>
      </c>
      <c r="K10" s="45">
        <f>SUM(K5:K9)</f>
        <v/>
      </c>
      <c r="L10" s="45">
        <f>SUM(L5:L9)</f>
        <v/>
      </c>
      <c r="M10" s="45">
        <f>SUM(M5:M9)</f>
        <v/>
      </c>
      <c r="N10" s="45">
        <f>SUM(N5:N9)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B7791F"/>
    <outlinePr summaryBelow="1" summaryRight="1"/>
    <pageSetUpPr/>
  </sheetPr>
  <dimension ref="A1:E16"/>
  <sheetViews>
    <sheetView workbookViewId="0">
      <selection activeCell="A1" sqref="A1"/>
    </sheetView>
  </sheetViews>
  <sheetFormatPr baseColWidth="10" defaultColWidth="9.140625" defaultRowHeight="15"/>
  <cols>
    <col width="12" customWidth="1" style="33" min="1" max="3"/>
    <col width="24" customWidth="1" style="33" min="4" max="4"/>
    <col width="21" customWidth="1" style="33" min="5" max="5"/>
  </cols>
  <sheetData>
    <row r="1" ht="21" customHeight="1" s="33">
      <c r="A1" s="1" t="inlineStr">
        <is>
          <t>FLUJO_CAJA</t>
        </is>
      </c>
    </row>
    <row r="2">
      <c r="A2" s="2" t="inlineStr">
        <is>
          <t>Entradas y salidas de caja por mes (base: PAGOS y COBROS aplicados)</t>
        </is>
      </c>
    </row>
    <row r="3">
      <c r="A3" t="inlineStr">
        <is>
          <t>Año del reporte</t>
        </is>
      </c>
      <c r="B3" s="29" t="n">
        <v>2026</v>
      </c>
    </row>
    <row r="4" ht="27.95" customHeight="1" s="33">
      <c r="A4" s="30" t="inlineStr">
        <is>
          <t>Mes</t>
        </is>
      </c>
      <c r="B4" s="30" t="inlineStr">
        <is>
          <t>Cobros</t>
        </is>
      </c>
      <c r="C4" s="30" t="inlineStr">
        <is>
          <t>Pagos</t>
        </is>
      </c>
      <c r="D4" s="30" t="inlineStr">
        <is>
          <t>Flujo Neto Mensual</t>
        </is>
      </c>
      <c r="E4" s="30" t="inlineStr">
        <is>
          <t>Flujo Acumulado</t>
        </is>
      </c>
    </row>
    <row r="5">
      <c r="A5" t="inlineStr">
        <is>
          <t>Enero</t>
        </is>
      </c>
      <c r="B5" s="42">
        <f>SUMPRODUCT((YEAR('COBROS'!$B$5:$B$10004)=$B$3)*(MONTH('COBROS'!$B$5:$B$10004)=1)*('COBROS'!$H$5:$H$10004="Aplicado")*'COBROS'!$G$5:$G$10004)</f>
        <v/>
      </c>
      <c r="C5" s="42">
        <f>SUMPRODUCT((YEAR(PAGOS!$B$5:$B$10004)=$B$3)*(MONTH(PAGOS!$B$5:$B$10004)=1)*(PAGOS!$H$5:$H$10004="Aplicado")*PAGOS!$G$5:$G$10004)</f>
        <v/>
      </c>
      <c r="D5" s="42">
        <f>B5-C5</f>
        <v/>
      </c>
      <c r="E5" s="42">
        <f>D5</f>
        <v/>
      </c>
    </row>
    <row r="6">
      <c r="A6" t="inlineStr">
        <is>
          <t>Febrero</t>
        </is>
      </c>
      <c r="B6" s="42">
        <f>SUMPRODUCT((YEAR('COBROS'!$B$5:$B$10004)=$B$3)*(MONTH('COBROS'!$B$5:$B$10004)=2)*('COBROS'!$H$5:$H$10004="Aplicado")*'COBROS'!$G$5:$G$10004)</f>
        <v/>
      </c>
      <c r="C6" s="42">
        <f>SUMPRODUCT((YEAR(PAGOS!$B$5:$B$10004)=$B$3)*(MONTH(PAGOS!$B$5:$B$10004)=2)*(PAGOS!$H$5:$H$10004="Aplicado")*PAGOS!$G$5:$G$10004)</f>
        <v/>
      </c>
      <c r="D6" s="42">
        <f>B6-C6</f>
        <v/>
      </c>
      <c r="E6" s="42">
        <f>E5+D6</f>
        <v/>
      </c>
    </row>
    <row r="7">
      <c r="A7" t="inlineStr">
        <is>
          <t>Marzo</t>
        </is>
      </c>
      <c r="B7" s="42">
        <f>SUMPRODUCT((YEAR('COBROS'!$B$5:$B$10004)=$B$3)*(MONTH('COBROS'!$B$5:$B$10004)=3)*('COBROS'!$H$5:$H$10004="Aplicado")*'COBROS'!$G$5:$G$10004)</f>
        <v/>
      </c>
      <c r="C7" s="42">
        <f>SUMPRODUCT((YEAR(PAGOS!$B$5:$B$10004)=$B$3)*(MONTH(PAGOS!$B$5:$B$10004)=3)*(PAGOS!$H$5:$H$10004="Aplicado")*PAGOS!$G$5:$G$10004)</f>
        <v/>
      </c>
      <c r="D7" s="42">
        <f>B7-C7</f>
        <v/>
      </c>
      <c r="E7" s="42">
        <f>E6+D7</f>
        <v/>
      </c>
    </row>
    <row r="8">
      <c r="A8" t="inlineStr">
        <is>
          <t>Abril</t>
        </is>
      </c>
      <c r="B8" s="42">
        <f>SUMPRODUCT((YEAR('COBROS'!$B$5:$B$10004)=$B$3)*(MONTH('COBROS'!$B$5:$B$10004)=4)*('COBROS'!$H$5:$H$10004="Aplicado")*'COBROS'!$G$5:$G$10004)</f>
        <v/>
      </c>
      <c r="C8" s="42">
        <f>SUMPRODUCT((YEAR(PAGOS!$B$5:$B$10004)=$B$3)*(MONTH(PAGOS!$B$5:$B$10004)=4)*(PAGOS!$H$5:$H$10004="Aplicado")*PAGOS!$G$5:$G$10004)</f>
        <v/>
      </c>
      <c r="D8" s="42">
        <f>B8-C8</f>
        <v/>
      </c>
      <c r="E8" s="42">
        <f>E7+D8</f>
        <v/>
      </c>
    </row>
    <row r="9">
      <c r="A9" t="inlineStr">
        <is>
          <t>Mayo</t>
        </is>
      </c>
      <c r="B9" s="42">
        <f>SUMPRODUCT((YEAR('COBROS'!$B$5:$B$10004)=$B$3)*(MONTH('COBROS'!$B$5:$B$10004)=5)*('COBROS'!$H$5:$H$10004="Aplicado")*'COBROS'!$G$5:$G$10004)</f>
        <v/>
      </c>
      <c r="C9" s="42">
        <f>SUMPRODUCT((YEAR(PAGOS!$B$5:$B$10004)=$B$3)*(MONTH(PAGOS!$B$5:$B$10004)=5)*(PAGOS!$H$5:$H$10004="Aplicado")*PAGOS!$G$5:$G$10004)</f>
        <v/>
      </c>
      <c r="D9" s="42">
        <f>B9-C9</f>
        <v/>
      </c>
      <c r="E9" s="42">
        <f>E8+D9</f>
        <v/>
      </c>
    </row>
    <row r="10">
      <c r="A10" t="inlineStr">
        <is>
          <t>Junio</t>
        </is>
      </c>
      <c r="B10" s="42">
        <f>SUMPRODUCT((YEAR('COBROS'!$B$5:$B$10004)=$B$3)*(MONTH('COBROS'!$B$5:$B$10004)=6)*('COBROS'!$H$5:$H$10004="Aplicado")*'COBROS'!$G$5:$G$10004)</f>
        <v/>
      </c>
      <c r="C10" s="42">
        <f>SUMPRODUCT((YEAR(PAGOS!$B$5:$B$10004)=$B$3)*(MONTH(PAGOS!$B$5:$B$10004)=6)*(PAGOS!$H$5:$H$10004="Aplicado")*PAGOS!$G$5:$G$10004)</f>
        <v/>
      </c>
      <c r="D10" s="42">
        <f>B10-C10</f>
        <v/>
      </c>
      <c r="E10" s="42">
        <f>E9+D10</f>
        <v/>
      </c>
    </row>
    <row r="11">
      <c r="A11" t="inlineStr">
        <is>
          <t>Julio</t>
        </is>
      </c>
      <c r="B11" s="42">
        <f>SUMPRODUCT((YEAR('COBROS'!$B$5:$B$10004)=$B$3)*(MONTH('COBROS'!$B$5:$B$10004)=7)*('COBROS'!$H$5:$H$10004="Aplicado")*'COBROS'!$G$5:$G$10004)</f>
        <v/>
      </c>
      <c r="C11" s="42">
        <f>SUMPRODUCT((YEAR(PAGOS!$B$5:$B$10004)=$B$3)*(MONTH(PAGOS!$B$5:$B$10004)=7)*(PAGOS!$H$5:$H$10004="Aplicado")*PAGOS!$G$5:$G$10004)</f>
        <v/>
      </c>
      <c r="D11" s="42">
        <f>B11-C11</f>
        <v/>
      </c>
      <c r="E11" s="42">
        <f>E10+D11</f>
        <v/>
      </c>
    </row>
    <row r="12">
      <c r="A12" t="inlineStr">
        <is>
          <t>Agosto</t>
        </is>
      </c>
      <c r="B12" s="42">
        <f>SUMPRODUCT((YEAR('COBROS'!$B$5:$B$10004)=$B$3)*(MONTH('COBROS'!$B$5:$B$10004)=8)*('COBROS'!$H$5:$H$10004="Aplicado")*'COBROS'!$G$5:$G$10004)</f>
        <v/>
      </c>
      <c r="C12" s="42">
        <f>SUMPRODUCT((YEAR(PAGOS!$B$5:$B$10004)=$B$3)*(MONTH(PAGOS!$B$5:$B$10004)=8)*(PAGOS!$H$5:$H$10004="Aplicado")*PAGOS!$G$5:$G$10004)</f>
        <v/>
      </c>
      <c r="D12" s="42">
        <f>B12-C12</f>
        <v/>
      </c>
      <c r="E12" s="42">
        <f>E11+D12</f>
        <v/>
      </c>
    </row>
    <row r="13">
      <c r="A13" t="inlineStr">
        <is>
          <t>Septiembre</t>
        </is>
      </c>
      <c r="B13" s="42">
        <f>SUMPRODUCT((YEAR('COBROS'!$B$5:$B$10004)=$B$3)*(MONTH('COBROS'!$B$5:$B$10004)=9)*('COBROS'!$H$5:$H$10004="Aplicado")*'COBROS'!$G$5:$G$10004)</f>
        <v/>
      </c>
      <c r="C13" s="42">
        <f>SUMPRODUCT((YEAR(PAGOS!$B$5:$B$10004)=$B$3)*(MONTH(PAGOS!$B$5:$B$10004)=9)*(PAGOS!$H$5:$H$10004="Aplicado")*PAGOS!$G$5:$G$10004)</f>
        <v/>
      </c>
      <c r="D13" s="42">
        <f>B13-C13</f>
        <v/>
      </c>
      <c r="E13" s="42">
        <f>E12+D13</f>
        <v/>
      </c>
    </row>
    <row r="14">
      <c r="A14" t="inlineStr">
        <is>
          <t>Octubre</t>
        </is>
      </c>
      <c r="B14" s="42">
        <f>SUMPRODUCT((YEAR('COBROS'!$B$5:$B$10004)=$B$3)*(MONTH('COBROS'!$B$5:$B$10004)=10)*('COBROS'!$H$5:$H$10004="Aplicado")*'COBROS'!$G$5:$G$10004)</f>
        <v/>
      </c>
      <c r="C14" s="42">
        <f>SUMPRODUCT((YEAR(PAGOS!$B$5:$B$10004)=$B$3)*(MONTH(PAGOS!$B$5:$B$10004)=10)*(PAGOS!$H$5:$H$10004="Aplicado")*PAGOS!$G$5:$G$10004)</f>
        <v/>
      </c>
      <c r="D14" s="42">
        <f>B14-C14</f>
        <v/>
      </c>
      <c r="E14" s="42">
        <f>E13+D14</f>
        <v/>
      </c>
    </row>
    <row r="15">
      <c r="A15" t="inlineStr">
        <is>
          <t>Noviembre</t>
        </is>
      </c>
      <c r="B15" s="42">
        <f>SUMPRODUCT((YEAR('COBROS'!$B$5:$B$10004)=$B$3)*(MONTH('COBROS'!$B$5:$B$10004)=11)*('COBROS'!$H$5:$H$10004="Aplicado")*'COBROS'!$G$5:$G$10004)</f>
        <v/>
      </c>
      <c r="C15" s="42">
        <f>SUMPRODUCT((YEAR(PAGOS!$B$5:$B$10004)=$B$3)*(MONTH(PAGOS!$B$5:$B$10004)=11)*(PAGOS!$H$5:$H$10004="Aplicado")*PAGOS!$G$5:$G$10004)</f>
        <v/>
      </c>
      <c r="D15" s="42">
        <f>B15-C15</f>
        <v/>
      </c>
      <c r="E15" s="42">
        <f>E14+D15</f>
        <v/>
      </c>
    </row>
    <row r="16">
      <c r="A16" t="inlineStr">
        <is>
          <t>Diciembre</t>
        </is>
      </c>
      <c r="B16" s="42">
        <f>SUMPRODUCT((YEAR('COBROS'!$B$5:$B$10004)=$B$3)*(MONTH('COBROS'!$B$5:$B$10004)=12)*('COBROS'!$H$5:$H$10004="Aplicado")*'COBROS'!$G$5:$G$10004)</f>
        <v/>
      </c>
      <c r="C16" s="42">
        <f>SUMPRODUCT((YEAR(PAGOS!$B$5:$B$10004)=$B$3)*(MONTH(PAGOS!$B$5:$B$10004)=12)*(PAGOS!$H$5:$H$10004="Aplicado")*PAGOS!$G$5:$G$10004)</f>
        <v/>
      </c>
      <c r="D16" s="42">
        <f>B16-C16</f>
        <v/>
      </c>
      <c r="E16" s="42">
        <f>E15+D16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B7791F"/>
    <outlinePr summaryBelow="1" summaryRight="1"/>
    <pageSetUpPr/>
  </sheetPr>
  <dimension ref="A1:G104"/>
  <sheetViews>
    <sheetView workbookViewId="0">
      <selection activeCell="A1" sqref="A1"/>
    </sheetView>
  </sheetViews>
  <sheetFormatPr baseColWidth="10" defaultColWidth="9.140625" defaultRowHeight="15"/>
  <cols>
    <col width="12" customWidth="1" style="33" min="1" max="2"/>
    <col width="13" customWidth="1" style="33" min="3" max="3"/>
    <col width="15" customWidth="1" style="33" min="4" max="4"/>
    <col width="12" customWidth="1" style="33" min="5" max="5"/>
    <col width="17" customWidth="1" style="33" min="6" max="6"/>
    <col width="12" customWidth="1" style="33" min="7" max="7"/>
  </cols>
  <sheetData>
    <row r="1" ht="21" customHeight="1" s="33">
      <c r="A1" s="1" t="inlineStr">
        <is>
          <t>CXC</t>
        </is>
      </c>
    </row>
    <row r="2">
      <c r="A2" s="2" t="inlineStr">
        <is>
          <t>Movimientos pendientes de cobrar (Ingreso/Venta con Estado=Pendiente)</t>
        </is>
      </c>
    </row>
    <row r="4">
      <c r="A4" t="inlineStr">
        <is>
          <t>ID</t>
        </is>
      </c>
      <c r="B4" t="inlineStr">
        <is>
          <t>Fecha</t>
        </is>
      </c>
      <c r="C4" t="inlineStr">
        <is>
          <t>Tercero</t>
        </is>
      </c>
      <c r="D4" t="inlineStr">
        <is>
          <t>Documento</t>
        </is>
      </c>
      <c r="E4" t="inlineStr">
        <is>
          <t>Total</t>
        </is>
      </c>
      <c r="F4" t="inlineStr">
        <is>
          <t>DiasVencido</t>
        </is>
      </c>
      <c r="G4" t="inlineStr">
        <is>
          <t>Estado</t>
        </is>
      </c>
    </row>
    <row r="5">
      <c r="A5" s="36">
        <f>IFERROR(INDEX(MOVIMIENTOS!$A$5:$A$10004,AGGREGATE(15,6,(ROW(MOVIMIENTOS!$P$5:$P$10004)-ROW(MOVIMIENTOS!$P$5)+1)/(((MOVIMIENTOS!$C$5:$C$10004="Ingreso")+(MOVIMIENTOS!$C$5:$C$10004="Venta"))*(MOVIMIENTOS!$P$5:$P$10004="Pendiente")),ROWS($A$5:A5))),"")</f>
        <v/>
      </c>
      <c r="B5">
        <f>IFERROR(INDEX(MOVIMIENTOS!$B$5:$B$10004,AGGREGATE(15,6,(ROW(MOVIMIENTOS!$P$5:$P$10004)-ROW(MOVIMIENTOS!$P$5)+1)/(((MOVIMIENTOS!$C$5:$C$10004="Ingreso")+(MOVIMIENTOS!$C$5:$C$10004="Venta"))*(MOVIMIENTOS!$P$5:$P$10004="Pendiente")),ROWS($A$5:A5))),"")</f>
        <v/>
      </c>
      <c r="C5">
        <f>IFERROR(INDEX(MOVIMIENTOS!$E$5:$E$10004,AGGREGATE(15,6,(ROW(MOVIMIENTOS!$P$5:$P$10004)-ROW(MOVIMIENTOS!$P$5)+1)/(((MOVIMIENTOS!$C$5:$C$10004="Ingreso")+(MOVIMIENTOS!$C$5:$C$10004="Venta"))*(MOVIMIENTOS!$P$5:$P$10004="Pendiente")),ROWS($A$5:A5))),"")</f>
        <v/>
      </c>
      <c r="D5">
        <f>IFERROR(INDEX(MOVIMIENTOS!$D$5:$D$10004,AGGREGATE(15,6,(ROW(MOVIMIENTOS!$P$5:$P$10004)-ROW(MOVIMIENTOS!$P$5)+1)/(((MOVIMIENTOS!$C$5:$C$10004="Ingreso")+(MOVIMIENTOS!$C$5:$C$10004="Venta"))*(MOVIMIENTOS!$P$5:$P$10004="Pendiente")),ROWS($A$5:A5))),"")</f>
        <v/>
      </c>
      <c r="E5">
        <f>IFERROR(INDEX(MOVIMIENTOS!$O$5:$O$10004,AGGREGATE(15,6,(ROW(MOVIMIENTOS!$P$5:$P$10004)-ROW(MOVIMIENTOS!$P$5)+1)/(((MOVIMIENTOS!$C$5:$C$10004="Ingreso")+(MOVIMIENTOS!$C$5:$C$10004="Venta"))*(MOVIMIENTOS!$P$5:$P$10004="Pendiente")),ROWS($A$5:A5))),"")</f>
        <v/>
      </c>
      <c r="F5">
        <f>IF(A5="","",MAX(0,TODAY()-B5))</f>
        <v/>
      </c>
      <c r="G5">
        <f>IFERROR(INDEX(MOVIMIENTOS!$P$5:$P$10004,AGGREGATE(15,6,(ROW(MOVIMIENTOS!$P$5:$P$10004)-ROW(MOVIMIENTOS!$P$5)+1)/(((MOVIMIENTOS!$C$5:$C$10004="Ingreso")+(MOVIMIENTOS!$C$5:$C$10004="Venta"))*(MOVIMIENTOS!$P$5:$P$10004="Pendiente")),ROWS($A$5:A5))),"")</f>
        <v/>
      </c>
    </row>
    <row r="6">
      <c r="A6">
        <f>IFERROR(INDEX(MOVIMIENTOS!$A$5:$A$10004,AGGREGATE(15,6,(ROW(MOVIMIENTOS!$P$5:$P$10004)-ROW(MOVIMIENTOS!$P$5)+1)/(((MOVIMIENTOS!$C$5:$C$10004="Ingreso")+(MOVIMIENTOS!$C$5:$C$10004="Venta"))*(MOVIMIENTOS!$P$5:$P$10004="Pendiente")),ROWS($A$5:A6))),"")</f>
        <v/>
      </c>
      <c r="B6">
        <f>IFERROR(INDEX(MOVIMIENTOS!$B$5:$B$10004,AGGREGATE(15,6,(ROW(MOVIMIENTOS!$P$5:$P$10004)-ROW(MOVIMIENTOS!$P$5)+1)/(((MOVIMIENTOS!$C$5:$C$10004="Ingreso")+(MOVIMIENTOS!$C$5:$C$10004="Venta"))*(MOVIMIENTOS!$P$5:$P$10004="Pendiente")),ROWS($A$5:A6))),"")</f>
        <v/>
      </c>
      <c r="C6">
        <f>IFERROR(INDEX(MOVIMIENTOS!$E$5:$E$10004,AGGREGATE(15,6,(ROW(MOVIMIENTOS!$P$5:$P$10004)-ROW(MOVIMIENTOS!$P$5)+1)/(((MOVIMIENTOS!$C$5:$C$10004="Ingreso")+(MOVIMIENTOS!$C$5:$C$10004="Venta"))*(MOVIMIENTOS!$P$5:$P$10004="Pendiente")),ROWS($A$5:A6))),"")</f>
        <v/>
      </c>
      <c r="D6">
        <f>IFERROR(INDEX(MOVIMIENTOS!$D$5:$D$10004,AGGREGATE(15,6,(ROW(MOVIMIENTOS!$P$5:$P$10004)-ROW(MOVIMIENTOS!$P$5)+1)/(((MOVIMIENTOS!$C$5:$C$10004="Ingreso")+(MOVIMIENTOS!$C$5:$C$10004="Venta"))*(MOVIMIENTOS!$P$5:$P$10004="Pendiente")),ROWS($A$5:A6))),"")</f>
        <v/>
      </c>
      <c r="E6">
        <f>IFERROR(INDEX(MOVIMIENTOS!$O$5:$O$10004,AGGREGATE(15,6,(ROW(MOVIMIENTOS!$P$5:$P$10004)-ROW(MOVIMIENTOS!$P$5)+1)/(((MOVIMIENTOS!$C$5:$C$10004="Ingreso")+(MOVIMIENTOS!$C$5:$C$10004="Venta"))*(MOVIMIENTOS!$P$5:$P$10004="Pendiente")),ROWS($A$5:A6))),"")</f>
        <v/>
      </c>
      <c r="F6">
        <f>IF(A6="","",MAX(0,TODAY()-B6))</f>
        <v/>
      </c>
      <c r="G6">
        <f>IFERROR(INDEX(MOVIMIENTOS!$P$5:$P$10004,AGGREGATE(15,6,(ROW(MOVIMIENTOS!$P$5:$P$10004)-ROW(MOVIMIENTOS!$P$5)+1)/(((MOVIMIENTOS!$C$5:$C$10004="Ingreso")+(MOVIMIENTOS!$C$5:$C$10004="Venta"))*(MOVIMIENTOS!$P$5:$P$10004="Pendiente")),ROWS($A$5:A6))),"")</f>
        <v/>
      </c>
    </row>
    <row r="7">
      <c r="A7">
        <f>IFERROR(INDEX(MOVIMIENTOS!$A$5:$A$10004,AGGREGATE(15,6,(ROW(MOVIMIENTOS!$P$5:$P$10004)-ROW(MOVIMIENTOS!$P$5)+1)/(((MOVIMIENTOS!$C$5:$C$10004="Ingreso")+(MOVIMIENTOS!$C$5:$C$10004="Venta"))*(MOVIMIENTOS!$P$5:$P$10004="Pendiente")),ROWS($A$5:A7))),"")</f>
        <v/>
      </c>
      <c r="B7">
        <f>IFERROR(INDEX(MOVIMIENTOS!$B$5:$B$10004,AGGREGATE(15,6,(ROW(MOVIMIENTOS!$P$5:$P$10004)-ROW(MOVIMIENTOS!$P$5)+1)/(((MOVIMIENTOS!$C$5:$C$10004="Ingreso")+(MOVIMIENTOS!$C$5:$C$10004="Venta"))*(MOVIMIENTOS!$P$5:$P$10004="Pendiente")),ROWS($A$5:A7))),"")</f>
        <v/>
      </c>
      <c r="C7">
        <f>IFERROR(INDEX(MOVIMIENTOS!$E$5:$E$10004,AGGREGATE(15,6,(ROW(MOVIMIENTOS!$P$5:$P$10004)-ROW(MOVIMIENTOS!$P$5)+1)/(((MOVIMIENTOS!$C$5:$C$10004="Ingreso")+(MOVIMIENTOS!$C$5:$C$10004="Venta"))*(MOVIMIENTOS!$P$5:$P$10004="Pendiente")),ROWS($A$5:A7))),"")</f>
        <v/>
      </c>
      <c r="D7">
        <f>IFERROR(INDEX(MOVIMIENTOS!$D$5:$D$10004,AGGREGATE(15,6,(ROW(MOVIMIENTOS!$P$5:$P$10004)-ROW(MOVIMIENTOS!$P$5)+1)/(((MOVIMIENTOS!$C$5:$C$10004="Ingreso")+(MOVIMIENTOS!$C$5:$C$10004="Venta"))*(MOVIMIENTOS!$P$5:$P$10004="Pendiente")),ROWS($A$5:A7))),"")</f>
        <v/>
      </c>
      <c r="E7">
        <f>IFERROR(INDEX(MOVIMIENTOS!$O$5:$O$10004,AGGREGATE(15,6,(ROW(MOVIMIENTOS!$P$5:$P$10004)-ROW(MOVIMIENTOS!$P$5)+1)/(((MOVIMIENTOS!$C$5:$C$10004="Ingreso")+(MOVIMIENTOS!$C$5:$C$10004="Venta"))*(MOVIMIENTOS!$P$5:$P$10004="Pendiente")),ROWS($A$5:A7))),"")</f>
        <v/>
      </c>
      <c r="F7">
        <f>IF(A7="","",MAX(0,TODAY()-B7))</f>
        <v/>
      </c>
      <c r="G7">
        <f>IFERROR(INDEX(MOVIMIENTOS!$P$5:$P$10004,AGGREGATE(15,6,(ROW(MOVIMIENTOS!$P$5:$P$10004)-ROW(MOVIMIENTOS!$P$5)+1)/(((MOVIMIENTOS!$C$5:$C$10004="Ingreso")+(MOVIMIENTOS!$C$5:$C$10004="Venta"))*(MOVIMIENTOS!$P$5:$P$10004="Pendiente")),ROWS($A$5:A7))),"")</f>
        <v/>
      </c>
    </row>
    <row r="8">
      <c r="A8">
        <f>IFERROR(INDEX(MOVIMIENTOS!$A$5:$A$10004,AGGREGATE(15,6,(ROW(MOVIMIENTOS!$P$5:$P$10004)-ROW(MOVIMIENTOS!$P$5)+1)/(((MOVIMIENTOS!$C$5:$C$10004="Ingreso")+(MOVIMIENTOS!$C$5:$C$10004="Venta"))*(MOVIMIENTOS!$P$5:$P$10004="Pendiente")),ROWS($A$5:A8))),"")</f>
        <v/>
      </c>
      <c r="B8">
        <f>IFERROR(INDEX(MOVIMIENTOS!$B$5:$B$10004,AGGREGATE(15,6,(ROW(MOVIMIENTOS!$P$5:$P$10004)-ROW(MOVIMIENTOS!$P$5)+1)/(((MOVIMIENTOS!$C$5:$C$10004="Ingreso")+(MOVIMIENTOS!$C$5:$C$10004="Venta"))*(MOVIMIENTOS!$P$5:$P$10004="Pendiente")),ROWS($A$5:A8))),"")</f>
        <v/>
      </c>
      <c r="C8">
        <f>IFERROR(INDEX(MOVIMIENTOS!$E$5:$E$10004,AGGREGATE(15,6,(ROW(MOVIMIENTOS!$P$5:$P$10004)-ROW(MOVIMIENTOS!$P$5)+1)/(((MOVIMIENTOS!$C$5:$C$10004="Ingreso")+(MOVIMIENTOS!$C$5:$C$10004="Venta"))*(MOVIMIENTOS!$P$5:$P$10004="Pendiente")),ROWS($A$5:A8))),"")</f>
        <v/>
      </c>
      <c r="D8">
        <f>IFERROR(INDEX(MOVIMIENTOS!$D$5:$D$10004,AGGREGATE(15,6,(ROW(MOVIMIENTOS!$P$5:$P$10004)-ROW(MOVIMIENTOS!$P$5)+1)/(((MOVIMIENTOS!$C$5:$C$10004="Ingreso")+(MOVIMIENTOS!$C$5:$C$10004="Venta"))*(MOVIMIENTOS!$P$5:$P$10004="Pendiente")),ROWS($A$5:A8))),"")</f>
        <v/>
      </c>
      <c r="E8">
        <f>IFERROR(INDEX(MOVIMIENTOS!$O$5:$O$10004,AGGREGATE(15,6,(ROW(MOVIMIENTOS!$P$5:$P$10004)-ROW(MOVIMIENTOS!$P$5)+1)/(((MOVIMIENTOS!$C$5:$C$10004="Ingreso")+(MOVIMIENTOS!$C$5:$C$10004="Venta"))*(MOVIMIENTOS!$P$5:$P$10004="Pendiente")),ROWS($A$5:A8))),"")</f>
        <v/>
      </c>
      <c r="F8">
        <f>IF(A8="","",MAX(0,TODAY()-B8))</f>
        <v/>
      </c>
      <c r="G8">
        <f>IFERROR(INDEX(MOVIMIENTOS!$P$5:$P$10004,AGGREGATE(15,6,(ROW(MOVIMIENTOS!$P$5:$P$10004)-ROW(MOVIMIENTOS!$P$5)+1)/(((MOVIMIENTOS!$C$5:$C$10004="Ingreso")+(MOVIMIENTOS!$C$5:$C$10004="Venta"))*(MOVIMIENTOS!$P$5:$P$10004="Pendiente")),ROWS($A$5:A8))),"")</f>
        <v/>
      </c>
    </row>
    <row r="9">
      <c r="A9">
        <f>IFERROR(INDEX(MOVIMIENTOS!$A$5:$A$10004,AGGREGATE(15,6,(ROW(MOVIMIENTOS!$P$5:$P$10004)-ROW(MOVIMIENTOS!$P$5)+1)/(((MOVIMIENTOS!$C$5:$C$10004="Ingreso")+(MOVIMIENTOS!$C$5:$C$10004="Venta"))*(MOVIMIENTOS!$P$5:$P$10004="Pendiente")),ROWS($A$5:A9))),"")</f>
        <v/>
      </c>
      <c r="B9">
        <f>IFERROR(INDEX(MOVIMIENTOS!$B$5:$B$10004,AGGREGATE(15,6,(ROW(MOVIMIENTOS!$P$5:$P$10004)-ROW(MOVIMIENTOS!$P$5)+1)/(((MOVIMIENTOS!$C$5:$C$10004="Ingreso")+(MOVIMIENTOS!$C$5:$C$10004="Venta"))*(MOVIMIENTOS!$P$5:$P$10004="Pendiente")),ROWS($A$5:A9))),"")</f>
        <v/>
      </c>
      <c r="C9">
        <f>IFERROR(INDEX(MOVIMIENTOS!$E$5:$E$10004,AGGREGATE(15,6,(ROW(MOVIMIENTOS!$P$5:$P$10004)-ROW(MOVIMIENTOS!$P$5)+1)/(((MOVIMIENTOS!$C$5:$C$10004="Ingreso")+(MOVIMIENTOS!$C$5:$C$10004="Venta"))*(MOVIMIENTOS!$P$5:$P$10004="Pendiente")),ROWS($A$5:A9))),"")</f>
        <v/>
      </c>
      <c r="D9">
        <f>IFERROR(INDEX(MOVIMIENTOS!$D$5:$D$10004,AGGREGATE(15,6,(ROW(MOVIMIENTOS!$P$5:$P$10004)-ROW(MOVIMIENTOS!$P$5)+1)/(((MOVIMIENTOS!$C$5:$C$10004="Ingreso")+(MOVIMIENTOS!$C$5:$C$10004="Venta"))*(MOVIMIENTOS!$P$5:$P$10004="Pendiente")),ROWS($A$5:A9))),"")</f>
        <v/>
      </c>
      <c r="E9">
        <f>IFERROR(INDEX(MOVIMIENTOS!$O$5:$O$10004,AGGREGATE(15,6,(ROW(MOVIMIENTOS!$P$5:$P$10004)-ROW(MOVIMIENTOS!$P$5)+1)/(((MOVIMIENTOS!$C$5:$C$10004="Ingreso")+(MOVIMIENTOS!$C$5:$C$10004="Venta"))*(MOVIMIENTOS!$P$5:$P$10004="Pendiente")),ROWS($A$5:A9))),"")</f>
        <v/>
      </c>
      <c r="F9">
        <f>IF(A9="","",MAX(0,TODAY()-B9))</f>
        <v/>
      </c>
      <c r="G9">
        <f>IFERROR(INDEX(MOVIMIENTOS!$P$5:$P$10004,AGGREGATE(15,6,(ROW(MOVIMIENTOS!$P$5:$P$10004)-ROW(MOVIMIENTOS!$P$5)+1)/(((MOVIMIENTOS!$C$5:$C$10004="Ingreso")+(MOVIMIENTOS!$C$5:$C$10004="Venta"))*(MOVIMIENTOS!$P$5:$P$10004="Pendiente")),ROWS($A$5:A9))),"")</f>
        <v/>
      </c>
    </row>
    <row r="10">
      <c r="A10">
        <f>IFERROR(INDEX(MOVIMIENTOS!$A$5:$A$10004,AGGREGATE(15,6,(ROW(MOVIMIENTOS!$P$5:$P$10004)-ROW(MOVIMIENTOS!$P$5)+1)/(((MOVIMIENTOS!$C$5:$C$10004="Ingreso")+(MOVIMIENTOS!$C$5:$C$10004="Venta"))*(MOVIMIENTOS!$P$5:$P$10004="Pendiente")),ROWS($A$5:A10))),"")</f>
        <v/>
      </c>
      <c r="B10">
        <f>IFERROR(INDEX(MOVIMIENTOS!$B$5:$B$10004,AGGREGATE(15,6,(ROW(MOVIMIENTOS!$P$5:$P$10004)-ROW(MOVIMIENTOS!$P$5)+1)/(((MOVIMIENTOS!$C$5:$C$10004="Ingreso")+(MOVIMIENTOS!$C$5:$C$10004="Venta"))*(MOVIMIENTOS!$P$5:$P$10004="Pendiente")),ROWS($A$5:A10))),"")</f>
        <v/>
      </c>
      <c r="C10">
        <f>IFERROR(INDEX(MOVIMIENTOS!$E$5:$E$10004,AGGREGATE(15,6,(ROW(MOVIMIENTOS!$P$5:$P$10004)-ROW(MOVIMIENTOS!$P$5)+1)/(((MOVIMIENTOS!$C$5:$C$10004="Ingreso")+(MOVIMIENTOS!$C$5:$C$10004="Venta"))*(MOVIMIENTOS!$P$5:$P$10004="Pendiente")),ROWS($A$5:A10))),"")</f>
        <v/>
      </c>
      <c r="D10">
        <f>IFERROR(INDEX(MOVIMIENTOS!$D$5:$D$10004,AGGREGATE(15,6,(ROW(MOVIMIENTOS!$P$5:$P$10004)-ROW(MOVIMIENTOS!$P$5)+1)/(((MOVIMIENTOS!$C$5:$C$10004="Ingreso")+(MOVIMIENTOS!$C$5:$C$10004="Venta"))*(MOVIMIENTOS!$P$5:$P$10004="Pendiente")),ROWS($A$5:A10))),"")</f>
        <v/>
      </c>
      <c r="E10">
        <f>IFERROR(INDEX(MOVIMIENTOS!$O$5:$O$10004,AGGREGATE(15,6,(ROW(MOVIMIENTOS!$P$5:$P$10004)-ROW(MOVIMIENTOS!$P$5)+1)/(((MOVIMIENTOS!$C$5:$C$10004="Ingreso")+(MOVIMIENTOS!$C$5:$C$10004="Venta"))*(MOVIMIENTOS!$P$5:$P$10004="Pendiente")),ROWS($A$5:A10))),"")</f>
        <v/>
      </c>
      <c r="F10">
        <f>IF(A10="","",MAX(0,TODAY()-B10))</f>
        <v/>
      </c>
      <c r="G10">
        <f>IFERROR(INDEX(MOVIMIENTOS!$P$5:$P$10004,AGGREGATE(15,6,(ROW(MOVIMIENTOS!$P$5:$P$10004)-ROW(MOVIMIENTOS!$P$5)+1)/(((MOVIMIENTOS!$C$5:$C$10004="Ingreso")+(MOVIMIENTOS!$C$5:$C$10004="Venta"))*(MOVIMIENTOS!$P$5:$P$10004="Pendiente")),ROWS($A$5:A10))),"")</f>
        <v/>
      </c>
    </row>
    <row r="11">
      <c r="A11">
        <f>IFERROR(INDEX(MOVIMIENTOS!$A$5:$A$10004,AGGREGATE(15,6,(ROW(MOVIMIENTOS!$P$5:$P$10004)-ROW(MOVIMIENTOS!$P$5)+1)/(((MOVIMIENTOS!$C$5:$C$10004="Ingreso")+(MOVIMIENTOS!$C$5:$C$10004="Venta"))*(MOVIMIENTOS!$P$5:$P$10004="Pendiente")),ROWS($A$5:A11))),"")</f>
        <v/>
      </c>
      <c r="B11">
        <f>IFERROR(INDEX(MOVIMIENTOS!$B$5:$B$10004,AGGREGATE(15,6,(ROW(MOVIMIENTOS!$P$5:$P$10004)-ROW(MOVIMIENTOS!$P$5)+1)/(((MOVIMIENTOS!$C$5:$C$10004="Ingreso")+(MOVIMIENTOS!$C$5:$C$10004="Venta"))*(MOVIMIENTOS!$P$5:$P$10004="Pendiente")),ROWS($A$5:A11))),"")</f>
        <v/>
      </c>
      <c r="C11">
        <f>IFERROR(INDEX(MOVIMIENTOS!$E$5:$E$10004,AGGREGATE(15,6,(ROW(MOVIMIENTOS!$P$5:$P$10004)-ROW(MOVIMIENTOS!$P$5)+1)/(((MOVIMIENTOS!$C$5:$C$10004="Ingreso")+(MOVIMIENTOS!$C$5:$C$10004="Venta"))*(MOVIMIENTOS!$P$5:$P$10004="Pendiente")),ROWS($A$5:A11))),"")</f>
        <v/>
      </c>
      <c r="D11">
        <f>IFERROR(INDEX(MOVIMIENTOS!$D$5:$D$10004,AGGREGATE(15,6,(ROW(MOVIMIENTOS!$P$5:$P$10004)-ROW(MOVIMIENTOS!$P$5)+1)/(((MOVIMIENTOS!$C$5:$C$10004="Ingreso")+(MOVIMIENTOS!$C$5:$C$10004="Venta"))*(MOVIMIENTOS!$P$5:$P$10004="Pendiente")),ROWS($A$5:A11))),"")</f>
        <v/>
      </c>
      <c r="E11">
        <f>IFERROR(INDEX(MOVIMIENTOS!$O$5:$O$10004,AGGREGATE(15,6,(ROW(MOVIMIENTOS!$P$5:$P$10004)-ROW(MOVIMIENTOS!$P$5)+1)/(((MOVIMIENTOS!$C$5:$C$10004="Ingreso")+(MOVIMIENTOS!$C$5:$C$10004="Venta"))*(MOVIMIENTOS!$P$5:$P$10004="Pendiente")),ROWS($A$5:A11))),"")</f>
        <v/>
      </c>
      <c r="F11">
        <f>IF(A11="","",MAX(0,TODAY()-B11))</f>
        <v/>
      </c>
      <c r="G11">
        <f>IFERROR(INDEX(MOVIMIENTOS!$P$5:$P$10004,AGGREGATE(15,6,(ROW(MOVIMIENTOS!$P$5:$P$10004)-ROW(MOVIMIENTOS!$P$5)+1)/(((MOVIMIENTOS!$C$5:$C$10004="Ingreso")+(MOVIMIENTOS!$C$5:$C$10004="Venta"))*(MOVIMIENTOS!$P$5:$P$10004="Pendiente")),ROWS($A$5:A11))),"")</f>
        <v/>
      </c>
    </row>
    <row r="12">
      <c r="A12">
        <f>IFERROR(INDEX(MOVIMIENTOS!$A$5:$A$10004,AGGREGATE(15,6,(ROW(MOVIMIENTOS!$P$5:$P$10004)-ROW(MOVIMIENTOS!$P$5)+1)/(((MOVIMIENTOS!$C$5:$C$10004="Ingreso")+(MOVIMIENTOS!$C$5:$C$10004="Venta"))*(MOVIMIENTOS!$P$5:$P$10004="Pendiente")),ROWS($A$5:A12))),"")</f>
        <v/>
      </c>
      <c r="B12">
        <f>IFERROR(INDEX(MOVIMIENTOS!$B$5:$B$10004,AGGREGATE(15,6,(ROW(MOVIMIENTOS!$P$5:$P$10004)-ROW(MOVIMIENTOS!$P$5)+1)/(((MOVIMIENTOS!$C$5:$C$10004="Ingreso")+(MOVIMIENTOS!$C$5:$C$10004="Venta"))*(MOVIMIENTOS!$P$5:$P$10004="Pendiente")),ROWS($A$5:A12))),"")</f>
        <v/>
      </c>
      <c r="C12">
        <f>IFERROR(INDEX(MOVIMIENTOS!$E$5:$E$10004,AGGREGATE(15,6,(ROW(MOVIMIENTOS!$P$5:$P$10004)-ROW(MOVIMIENTOS!$P$5)+1)/(((MOVIMIENTOS!$C$5:$C$10004="Ingreso")+(MOVIMIENTOS!$C$5:$C$10004="Venta"))*(MOVIMIENTOS!$P$5:$P$10004="Pendiente")),ROWS($A$5:A12))),"")</f>
        <v/>
      </c>
      <c r="D12">
        <f>IFERROR(INDEX(MOVIMIENTOS!$D$5:$D$10004,AGGREGATE(15,6,(ROW(MOVIMIENTOS!$P$5:$P$10004)-ROW(MOVIMIENTOS!$P$5)+1)/(((MOVIMIENTOS!$C$5:$C$10004="Ingreso")+(MOVIMIENTOS!$C$5:$C$10004="Venta"))*(MOVIMIENTOS!$P$5:$P$10004="Pendiente")),ROWS($A$5:A12))),"")</f>
        <v/>
      </c>
      <c r="E12">
        <f>IFERROR(INDEX(MOVIMIENTOS!$O$5:$O$10004,AGGREGATE(15,6,(ROW(MOVIMIENTOS!$P$5:$P$10004)-ROW(MOVIMIENTOS!$P$5)+1)/(((MOVIMIENTOS!$C$5:$C$10004="Ingreso")+(MOVIMIENTOS!$C$5:$C$10004="Venta"))*(MOVIMIENTOS!$P$5:$P$10004="Pendiente")),ROWS($A$5:A12))),"")</f>
        <v/>
      </c>
      <c r="F12">
        <f>IF(A12="","",MAX(0,TODAY()-B12))</f>
        <v/>
      </c>
      <c r="G12">
        <f>IFERROR(INDEX(MOVIMIENTOS!$P$5:$P$10004,AGGREGATE(15,6,(ROW(MOVIMIENTOS!$P$5:$P$10004)-ROW(MOVIMIENTOS!$P$5)+1)/(((MOVIMIENTOS!$C$5:$C$10004="Ingreso")+(MOVIMIENTOS!$C$5:$C$10004="Venta"))*(MOVIMIENTOS!$P$5:$P$10004="Pendiente")),ROWS($A$5:A12))),"")</f>
        <v/>
      </c>
    </row>
    <row r="13">
      <c r="A13">
        <f>IFERROR(INDEX(MOVIMIENTOS!$A$5:$A$10004,AGGREGATE(15,6,(ROW(MOVIMIENTOS!$P$5:$P$10004)-ROW(MOVIMIENTOS!$P$5)+1)/(((MOVIMIENTOS!$C$5:$C$10004="Ingreso")+(MOVIMIENTOS!$C$5:$C$10004="Venta"))*(MOVIMIENTOS!$P$5:$P$10004="Pendiente")),ROWS($A$5:A13))),"")</f>
        <v/>
      </c>
      <c r="B13">
        <f>IFERROR(INDEX(MOVIMIENTOS!$B$5:$B$10004,AGGREGATE(15,6,(ROW(MOVIMIENTOS!$P$5:$P$10004)-ROW(MOVIMIENTOS!$P$5)+1)/(((MOVIMIENTOS!$C$5:$C$10004="Ingreso")+(MOVIMIENTOS!$C$5:$C$10004="Venta"))*(MOVIMIENTOS!$P$5:$P$10004="Pendiente")),ROWS($A$5:A13))),"")</f>
        <v/>
      </c>
      <c r="C13">
        <f>IFERROR(INDEX(MOVIMIENTOS!$E$5:$E$10004,AGGREGATE(15,6,(ROW(MOVIMIENTOS!$P$5:$P$10004)-ROW(MOVIMIENTOS!$P$5)+1)/(((MOVIMIENTOS!$C$5:$C$10004="Ingreso")+(MOVIMIENTOS!$C$5:$C$10004="Venta"))*(MOVIMIENTOS!$P$5:$P$10004="Pendiente")),ROWS($A$5:A13))),"")</f>
        <v/>
      </c>
      <c r="D13">
        <f>IFERROR(INDEX(MOVIMIENTOS!$D$5:$D$10004,AGGREGATE(15,6,(ROW(MOVIMIENTOS!$P$5:$P$10004)-ROW(MOVIMIENTOS!$P$5)+1)/(((MOVIMIENTOS!$C$5:$C$10004="Ingreso")+(MOVIMIENTOS!$C$5:$C$10004="Venta"))*(MOVIMIENTOS!$P$5:$P$10004="Pendiente")),ROWS($A$5:A13))),"")</f>
        <v/>
      </c>
      <c r="E13">
        <f>IFERROR(INDEX(MOVIMIENTOS!$O$5:$O$10004,AGGREGATE(15,6,(ROW(MOVIMIENTOS!$P$5:$P$10004)-ROW(MOVIMIENTOS!$P$5)+1)/(((MOVIMIENTOS!$C$5:$C$10004="Ingreso")+(MOVIMIENTOS!$C$5:$C$10004="Venta"))*(MOVIMIENTOS!$P$5:$P$10004="Pendiente")),ROWS($A$5:A13))),"")</f>
        <v/>
      </c>
      <c r="F13">
        <f>IF(A13="","",MAX(0,TODAY()-B13))</f>
        <v/>
      </c>
      <c r="G13">
        <f>IFERROR(INDEX(MOVIMIENTOS!$P$5:$P$10004,AGGREGATE(15,6,(ROW(MOVIMIENTOS!$P$5:$P$10004)-ROW(MOVIMIENTOS!$P$5)+1)/(((MOVIMIENTOS!$C$5:$C$10004="Ingreso")+(MOVIMIENTOS!$C$5:$C$10004="Venta"))*(MOVIMIENTOS!$P$5:$P$10004="Pendiente")),ROWS($A$5:A13))),"")</f>
        <v/>
      </c>
    </row>
    <row r="14">
      <c r="A14">
        <f>IFERROR(INDEX(MOVIMIENTOS!$A$5:$A$10004,AGGREGATE(15,6,(ROW(MOVIMIENTOS!$P$5:$P$10004)-ROW(MOVIMIENTOS!$P$5)+1)/(((MOVIMIENTOS!$C$5:$C$10004="Ingreso")+(MOVIMIENTOS!$C$5:$C$10004="Venta"))*(MOVIMIENTOS!$P$5:$P$10004="Pendiente")),ROWS($A$5:A14))),"")</f>
        <v/>
      </c>
      <c r="B14">
        <f>IFERROR(INDEX(MOVIMIENTOS!$B$5:$B$10004,AGGREGATE(15,6,(ROW(MOVIMIENTOS!$P$5:$P$10004)-ROW(MOVIMIENTOS!$P$5)+1)/(((MOVIMIENTOS!$C$5:$C$10004="Ingreso")+(MOVIMIENTOS!$C$5:$C$10004="Venta"))*(MOVIMIENTOS!$P$5:$P$10004="Pendiente")),ROWS($A$5:A14))),"")</f>
        <v/>
      </c>
      <c r="C14">
        <f>IFERROR(INDEX(MOVIMIENTOS!$E$5:$E$10004,AGGREGATE(15,6,(ROW(MOVIMIENTOS!$P$5:$P$10004)-ROW(MOVIMIENTOS!$P$5)+1)/(((MOVIMIENTOS!$C$5:$C$10004="Ingreso")+(MOVIMIENTOS!$C$5:$C$10004="Venta"))*(MOVIMIENTOS!$P$5:$P$10004="Pendiente")),ROWS($A$5:A14))),"")</f>
        <v/>
      </c>
      <c r="D14">
        <f>IFERROR(INDEX(MOVIMIENTOS!$D$5:$D$10004,AGGREGATE(15,6,(ROW(MOVIMIENTOS!$P$5:$P$10004)-ROW(MOVIMIENTOS!$P$5)+1)/(((MOVIMIENTOS!$C$5:$C$10004="Ingreso")+(MOVIMIENTOS!$C$5:$C$10004="Venta"))*(MOVIMIENTOS!$P$5:$P$10004="Pendiente")),ROWS($A$5:A14))),"")</f>
        <v/>
      </c>
      <c r="E14">
        <f>IFERROR(INDEX(MOVIMIENTOS!$O$5:$O$10004,AGGREGATE(15,6,(ROW(MOVIMIENTOS!$P$5:$P$10004)-ROW(MOVIMIENTOS!$P$5)+1)/(((MOVIMIENTOS!$C$5:$C$10004="Ingreso")+(MOVIMIENTOS!$C$5:$C$10004="Venta"))*(MOVIMIENTOS!$P$5:$P$10004="Pendiente")),ROWS($A$5:A14))),"")</f>
        <v/>
      </c>
      <c r="F14">
        <f>IF(A14="","",MAX(0,TODAY()-B14))</f>
        <v/>
      </c>
      <c r="G14">
        <f>IFERROR(INDEX(MOVIMIENTOS!$P$5:$P$10004,AGGREGATE(15,6,(ROW(MOVIMIENTOS!$P$5:$P$10004)-ROW(MOVIMIENTOS!$P$5)+1)/(((MOVIMIENTOS!$C$5:$C$10004="Ingreso")+(MOVIMIENTOS!$C$5:$C$10004="Venta"))*(MOVIMIENTOS!$P$5:$P$10004="Pendiente")),ROWS($A$5:A14))),"")</f>
        <v/>
      </c>
    </row>
    <row r="15">
      <c r="A15">
        <f>IFERROR(INDEX(MOVIMIENTOS!$A$5:$A$10004,AGGREGATE(15,6,(ROW(MOVIMIENTOS!$P$5:$P$10004)-ROW(MOVIMIENTOS!$P$5)+1)/(((MOVIMIENTOS!$C$5:$C$10004="Ingreso")+(MOVIMIENTOS!$C$5:$C$10004="Venta"))*(MOVIMIENTOS!$P$5:$P$10004="Pendiente")),ROWS($A$5:A15))),"")</f>
        <v/>
      </c>
      <c r="B15">
        <f>IFERROR(INDEX(MOVIMIENTOS!$B$5:$B$10004,AGGREGATE(15,6,(ROW(MOVIMIENTOS!$P$5:$P$10004)-ROW(MOVIMIENTOS!$P$5)+1)/(((MOVIMIENTOS!$C$5:$C$10004="Ingreso")+(MOVIMIENTOS!$C$5:$C$10004="Venta"))*(MOVIMIENTOS!$P$5:$P$10004="Pendiente")),ROWS($A$5:A15))),"")</f>
        <v/>
      </c>
      <c r="C15">
        <f>IFERROR(INDEX(MOVIMIENTOS!$E$5:$E$10004,AGGREGATE(15,6,(ROW(MOVIMIENTOS!$P$5:$P$10004)-ROW(MOVIMIENTOS!$P$5)+1)/(((MOVIMIENTOS!$C$5:$C$10004="Ingreso")+(MOVIMIENTOS!$C$5:$C$10004="Venta"))*(MOVIMIENTOS!$P$5:$P$10004="Pendiente")),ROWS($A$5:A15))),"")</f>
        <v/>
      </c>
      <c r="D15">
        <f>IFERROR(INDEX(MOVIMIENTOS!$D$5:$D$10004,AGGREGATE(15,6,(ROW(MOVIMIENTOS!$P$5:$P$10004)-ROW(MOVIMIENTOS!$P$5)+1)/(((MOVIMIENTOS!$C$5:$C$10004="Ingreso")+(MOVIMIENTOS!$C$5:$C$10004="Venta"))*(MOVIMIENTOS!$P$5:$P$10004="Pendiente")),ROWS($A$5:A15))),"")</f>
        <v/>
      </c>
      <c r="E15">
        <f>IFERROR(INDEX(MOVIMIENTOS!$O$5:$O$10004,AGGREGATE(15,6,(ROW(MOVIMIENTOS!$P$5:$P$10004)-ROW(MOVIMIENTOS!$P$5)+1)/(((MOVIMIENTOS!$C$5:$C$10004="Ingreso")+(MOVIMIENTOS!$C$5:$C$10004="Venta"))*(MOVIMIENTOS!$P$5:$P$10004="Pendiente")),ROWS($A$5:A15))),"")</f>
        <v/>
      </c>
      <c r="F15">
        <f>IF(A15="","",MAX(0,TODAY()-B15))</f>
        <v/>
      </c>
      <c r="G15">
        <f>IFERROR(INDEX(MOVIMIENTOS!$P$5:$P$10004,AGGREGATE(15,6,(ROW(MOVIMIENTOS!$P$5:$P$10004)-ROW(MOVIMIENTOS!$P$5)+1)/(((MOVIMIENTOS!$C$5:$C$10004="Ingreso")+(MOVIMIENTOS!$C$5:$C$10004="Venta"))*(MOVIMIENTOS!$P$5:$P$10004="Pendiente")),ROWS($A$5:A15))),"")</f>
        <v/>
      </c>
    </row>
    <row r="16">
      <c r="A16">
        <f>IFERROR(INDEX(MOVIMIENTOS!$A$5:$A$10004,AGGREGATE(15,6,(ROW(MOVIMIENTOS!$P$5:$P$10004)-ROW(MOVIMIENTOS!$P$5)+1)/(((MOVIMIENTOS!$C$5:$C$10004="Ingreso")+(MOVIMIENTOS!$C$5:$C$10004="Venta"))*(MOVIMIENTOS!$P$5:$P$10004="Pendiente")),ROWS($A$5:A16))),"")</f>
        <v/>
      </c>
      <c r="B16">
        <f>IFERROR(INDEX(MOVIMIENTOS!$B$5:$B$10004,AGGREGATE(15,6,(ROW(MOVIMIENTOS!$P$5:$P$10004)-ROW(MOVIMIENTOS!$P$5)+1)/(((MOVIMIENTOS!$C$5:$C$10004="Ingreso")+(MOVIMIENTOS!$C$5:$C$10004="Venta"))*(MOVIMIENTOS!$P$5:$P$10004="Pendiente")),ROWS($A$5:A16))),"")</f>
        <v/>
      </c>
      <c r="C16">
        <f>IFERROR(INDEX(MOVIMIENTOS!$E$5:$E$10004,AGGREGATE(15,6,(ROW(MOVIMIENTOS!$P$5:$P$10004)-ROW(MOVIMIENTOS!$P$5)+1)/(((MOVIMIENTOS!$C$5:$C$10004="Ingreso")+(MOVIMIENTOS!$C$5:$C$10004="Venta"))*(MOVIMIENTOS!$P$5:$P$10004="Pendiente")),ROWS($A$5:A16))),"")</f>
        <v/>
      </c>
      <c r="D16">
        <f>IFERROR(INDEX(MOVIMIENTOS!$D$5:$D$10004,AGGREGATE(15,6,(ROW(MOVIMIENTOS!$P$5:$P$10004)-ROW(MOVIMIENTOS!$P$5)+1)/(((MOVIMIENTOS!$C$5:$C$10004="Ingreso")+(MOVIMIENTOS!$C$5:$C$10004="Venta"))*(MOVIMIENTOS!$P$5:$P$10004="Pendiente")),ROWS($A$5:A16))),"")</f>
        <v/>
      </c>
      <c r="E16">
        <f>IFERROR(INDEX(MOVIMIENTOS!$O$5:$O$10004,AGGREGATE(15,6,(ROW(MOVIMIENTOS!$P$5:$P$10004)-ROW(MOVIMIENTOS!$P$5)+1)/(((MOVIMIENTOS!$C$5:$C$10004="Ingreso")+(MOVIMIENTOS!$C$5:$C$10004="Venta"))*(MOVIMIENTOS!$P$5:$P$10004="Pendiente")),ROWS($A$5:A16))),"")</f>
        <v/>
      </c>
      <c r="F16">
        <f>IF(A16="","",MAX(0,TODAY()-B16))</f>
        <v/>
      </c>
      <c r="G16">
        <f>IFERROR(INDEX(MOVIMIENTOS!$P$5:$P$10004,AGGREGATE(15,6,(ROW(MOVIMIENTOS!$P$5:$P$10004)-ROW(MOVIMIENTOS!$P$5)+1)/(((MOVIMIENTOS!$C$5:$C$10004="Ingreso")+(MOVIMIENTOS!$C$5:$C$10004="Venta"))*(MOVIMIENTOS!$P$5:$P$10004="Pendiente")),ROWS($A$5:A16))),"")</f>
        <v/>
      </c>
    </row>
    <row r="17">
      <c r="A17">
        <f>IFERROR(INDEX(MOVIMIENTOS!$A$5:$A$10004,AGGREGATE(15,6,(ROW(MOVIMIENTOS!$P$5:$P$10004)-ROW(MOVIMIENTOS!$P$5)+1)/(((MOVIMIENTOS!$C$5:$C$10004="Ingreso")+(MOVIMIENTOS!$C$5:$C$10004="Venta"))*(MOVIMIENTOS!$P$5:$P$10004="Pendiente")),ROWS($A$5:A17))),"")</f>
        <v/>
      </c>
      <c r="B17">
        <f>IFERROR(INDEX(MOVIMIENTOS!$B$5:$B$10004,AGGREGATE(15,6,(ROW(MOVIMIENTOS!$P$5:$P$10004)-ROW(MOVIMIENTOS!$P$5)+1)/(((MOVIMIENTOS!$C$5:$C$10004="Ingreso")+(MOVIMIENTOS!$C$5:$C$10004="Venta"))*(MOVIMIENTOS!$P$5:$P$10004="Pendiente")),ROWS($A$5:A17))),"")</f>
        <v/>
      </c>
      <c r="C17">
        <f>IFERROR(INDEX(MOVIMIENTOS!$E$5:$E$10004,AGGREGATE(15,6,(ROW(MOVIMIENTOS!$P$5:$P$10004)-ROW(MOVIMIENTOS!$P$5)+1)/(((MOVIMIENTOS!$C$5:$C$10004="Ingreso")+(MOVIMIENTOS!$C$5:$C$10004="Venta"))*(MOVIMIENTOS!$P$5:$P$10004="Pendiente")),ROWS($A$5:A17))),"")</f>
        <v/>
      </c>
      <c r="D17">
        <f>IFERROR(INDEX(MOVIMIENTOS!$D$5:$D$10004,AGGREGATE(15,6,(ROW(MOVIMIENTOS!$P$5:$P$10004)-ROW(MOVIMIENTOS!$P$5)+1)/(((MOVIMIENTOS!$C$5:$C$10004="Ingreso")+(MOVIMIENTOS!$C$5:$C$10004="Venta"))*(MOVIMIENTOS!$P$5:$P$10004="Pendiente")),ROWS($A$5:A17))),"")</f>
        <v/>
      </c>
      <c r="E17">
        <f>IFERROR(INDEX(MOVIMIENTOS!$O$5:$O$10004,AGGREGATE(15,6,(ROW(MOVIMIENTOS!$P$5:$P$10004)-ROW(MOVIMIENTOS!$P$5)+1)/(((MOVIMIENTOS!$C$5:$C$10004="Ingreso")+(MOVIMIENTOS!$C$5:$C$10004="Venta"))*(MOVIMIENTOS!$P$5:$P$10004="Pendiente")),ROWS($A$5:A17))),"")</f>
        <v/>
      </c>
      <c r="F17">
        <f>IF(A17="","",MAX(0,TODAY()-B17))</f>
        <v/>
      </c>
      <c r="G17">
        <f>IFERROR(INDEX(MOVIMIENTOS!$P$5:$P$10004,AGGREGATE(15,6,(ROW(MOVIMIENTOS!$P$5:$P$10004)-ROW(MOVIMIENTOS!$P$5)+1)/(((MOVIMIENTOS!$C$5:$C$10004="Ingreso")+(MOVIMIENTOS!$C$5:$C$10004="Venta"))*(MOVIMIENTOS!$P$5:$P$10004="Pendiente")),ROWS($A$5:A17))),"")</f>
        <v/>
      </c>
    </row>
    <row r="18">
      <c r="A18">
        <f>IFERROR(INDEX(MOVIMIENTOS!$A$5:$A$10004,AGGREGATE(15,6,(ROW(MOVIMIENTOS!$P$5:$P$10004)-ROW(MOVIMIENTOS!$P$5)+1)/(((MOVIMIENTOS!$C$5:$C$10004="Ingreso")+(MOVIMIENTOS!$C$5:$C$10004="Venta"))*(MOVIMIENTOS!$P$5:$P$10004="Pendiente")),ROWS($A$5:A18))),"")</f>
        <v/>
      </c>
      <c r="B18">
        <f>IFERROR(INDEX(MOVIMIENTOS!$B$5:$B$10004,AGGREGATE(15,6,(ROW(MOVIMIENTOS!$P$5:$P$10004)-ROW(MOVIMIENTOS!$P$5)+1)/(((MOVIMIENTOS!$C$5:$C$10004="Ingreso")+(MOVIMIENTOS!$C$5:$C$10004="Venta"))*(MOVIMIENTOS!$P$5:$P$10004="Pendiente")),ROWS($A$5:A18))),"")</f>
        <v/>
      </c>
      <c r="C18">
        <f>IFERROR(INDEX(MOVIMIENTOS!$E$5:$E$10004,AGGREGATE(15,6,(ROW(MOVIMIENTOS!$P$5:$P$10004)-ROW(MOVIMIENTOS!$P$5)+1)/(((MOVIMIENTOS!$C$5:$C$10004="Ingreso")+(MOVIMIENTOS!$C$5:$C$10004="Venta"))*(MOVIMIENTOS!$P$5:$P$10004="Pendiente")),ROWS($A$5:A18))),"")</f>
        <v/>
      </c>
      <c r="D18">
        <f>IFERROR(INDEX(MOVIMIENTOS!$D$5:$D$10004,AGGREGATE(15,6,(ROW(MOVIMIENTOS!$P$5:$P$10004)-ROW(MOVIMIENTOS!$P$5)+1)/(((MOVIMIENTOS!$C$5:$C$10004="Ingreso")+(MOVIMIENTOS!$C$5:$C$10004="Venta"))*(MOVIMIENTOS!$P$5:$P$10004="Pendiente")),ROWS($A$5:A18))),"")</f>
        <v/>
      </c>
      <c r="E18">
        <f>IFERROR(INDEX(MOVIMIENTOS!$O$5:$O$10004,AGGREGATE(15,6,(ROW(MOVIMIENTOS!$P$5:$P$10004)-ROW(MOVIMIENTOS!$P$5)+1)/(((MOVIMIENTOS!$C$5:$C$10004="Ingreso")+(MOVIMIENTOS!$C$5:$C$10004="Venta"))*(MOVIMIENTOS!$P$5:$P$10004="Pendiente")),ROWS($A$5:A18))),"")</f>
        <v/>
      </c>
      <c r="F18">
        <f>IF(A18="","",MAX(0,TODAY()-B18))</f>
        <v/>
      </c>
      <c r="G18">
        <f>IFERROR(INDEX(MOVIMIENTOS!$P$5:$P$10004,AGGREGATE(15,6,(ROW(MOVIMIENTOS!$P$5:$P$10004)-ROW(MOVIMIENTOS!$P$5)+1)/(((MOVIMIENTOS!$C$5:$C$10004="Ingreso")+(MOVIMIENTOS!$C$5:$C$10004="Venta"))*(MOVIMIENTOS!$P$5:$P$10004="Pendiente")),ROWS($A$5:A18))),"")</f>
        <v/>
      </c>
    </row>
    <row r="19">
      <c r="A19">
        <f>IFERROR(INDEX(MOVIMIENTOS!$A$5:$A$10004,AGGREGATE(15,6,(ROW(MOVIMIENTOS!$P$5:$P$10004)-ROW(MOVIMIENTOS!$P$5)+1)/(((MOVIMIENTOS!$C$5:$C$10004="Ingreso")+(MOVIMIENTOS!$C$5:$C$10004="Venta"))*(MOVIMIENTOS!$P$5:$P$10004="Pendiente")),ROWS($A$5:A19))),"")</f>
        <v/>
      </c>
      <c r="B19">
        <f>IFERROR(INDEX(MOVIMIENTOS!$B$5:$B$10004,AGGREGATE(15,6,(ROW(MOVIMIENTOS!$P$5:$P$10004)-ROW(MOVIMIENTOS!$P$5)+1)/(((MOVIMIENTOS!$C$5:$C$10004="Ingreso")+(MOVIMIENTOS!$C$5:$C$10004="Venta"))*(MOVIMIENTOS!$P$5:$P$10004="Pendiente")),ROWS($A$5:A19))),"")</f>
        <v/>
      </c>
      <c r="C19">
        <f>IFERROR(INDEX(MOVIMIENTOS!$E$5:$E$10004,AGGREGATE(15,6,(ROW(MOVIMIENTOS!$P$5:$P$10004)-ROW(MOVIMIENTOS!$P$5)+1)/(((MOVIMIENTOS!$C$5:$C$10004="Ingreso")+(MOVIMIENTOS!$C$5:$C$10004="Venta"))*(MOVIMIENTOS!$P$5:$P$10004="Pendiente")),ROWS($A$5:A19))),"")</f>
        <v/>
      </c>
      <c r="D19">
        <f>IFERROR(INDEX(MOVIMIENTOS!$D$5:$D$10004,AGGREGATE(15,6,(ROW(MOVIMIENTOS!$P$5:$P$10004)-ROW(MOVIMIENTOS!$P$5)+1)/(((MOVIMIENTOS!$C$5:$C$10004="Ingreso")+(MOVIMIENTOS!$C$5:$C$10004="Venta"))*(MOVIMIENTOS!$P$5:$P$10004="Pendiente")),ROWS($A$5:A19))),"")</f>
        <v/>
      </c>
      <c r="E19">
        <f>IFERROR(INDEX(MOVIMIENTOS!$O$5:$O$10004,AGGREGATE(15,6,(ROW(MOVIMIENTOS!$P$5:$P$10004)-ROW(MOVIMIENTOS!$P$5)+1)/(((MOVIMIENTOS!$C$5:$C$10004="Ingreso")+(MOVIMIENTOS!$C$5:$C$10004="Venta"))*(MOVIMIENTOS!$P$5:$P$10004="Pendiente")),ROWS($A$5:A19))),"")</f>
        <v/>
      </c>
      <c r="F19">
        <f>IF(A19="","",MAX(0,TODAY()-B19))</f>
        <v/>
      </c>
      <c r="G19">
        <f>IFERROR(INDEX(MOVIMIENTOS!$P$5:$P$10004,AGGREGATE(15,6,(ROW(MOVIMIENTOS!$P$5:$P$10004)-ROW(MOVIMIENTOS!$P$5)+1)/(((MOVIMIENTOS!$C$5:$C$10004="Ingreso")+(MOVIMIENTOS!$C$5:$C$10004="Venta"))*(MOVIMIENTOS!$P$5:$P$10004="Pendiente")),ROWS($A$5:A19))),"")</f>
        <v/>
      </c>
    </row>
    <row r="20">
      <c r="A20">
        <f>IFERROR(INDEX(MOVIMIENTOS!$A$5:$A$10004,AGGREGATE(15,6,(ROW(MOVIMIENTOS!$P$5:$P$10004)-ROW(MOVIMIENTOS!$P$5)+1)/(((MOVIMIENTOS!$C$5:$C$10004="Ingreso")+(MOVIMIENTOS!$C$5:$C$10004="Venta"))*(MOVIMIENTOS!$P$5:$P$10004="Pendiente")),ROWS($A$5:A20))),"")</f>
        <v/>
      </c>
      <c r="B20">
        <f>IFERROR(INDEX(MOVIMIENTOS!$B$5:$B$10004,AGGREGATE(15,6,(ROW(MOVIMIENTOS!$P$5:$P$10004)-ROW(MOVIMIENTOS!$P$5)+1)/(((MOVIMIENTOS!$C$5:$C$10004="Ingreso")+(MOVIMIENTOS!$C$5:$C$10004="Venta"))*(MOVIMIENTOS!$P$5:$P$10004="Pendiente")),ROWS($A$5:A20))),"")</f>
        <v/>
      </c>
      <c r="C20">
        <f>IFERROR(INDEX(MOVIMIENTOS!$E$5:$E$10004,AGGREGATE(15,6,(ROW(MOVIMIENTOS!$P$5:$P$10004)-ROW(MOVIMIENTOS!$P$5)+1)/(((MOVIMIENTOS!$C$5:$C$10004="Ingreso")+(MOVIMIENTOS!$C$5:$C$10004="Venta"))*(MOVIMIENTOS!$P$5:$P$10004="Pendiente")),ROWS($A$5:A20))),"")</f>
        <v/>
      </c>
      <c r="D20">
        <f>IFERROR(INDEX(MOVIMIENTOS!$D$5:$D$10004,AGGREGATE(15,6,(ROW(MOVIMIENTOS!$P$5:$P$10004)-ROW(MOVIMIENTOS!$P$5)+1)/(((MOVIMIENTOS!$C$5:$C$10004="Ingreso")+(MOVIMIENTOS!$C$5:$C$10004="Venta"))*(MOVIMIENTOS!$P$5:$P$10004="Pendiente")),ROWS($A$5:A20))),"")</f>
        <v/>
      </c>
      <c r="E20">
        <f>IFERROR(INDEX(MOVIMIENTOS!$O$5:$O$10004,AGGREGATE(15,6,(ROW(MOVIMIENTOS!$P$5:$P$10004)-ROW(MOVIMIENTOS!$P$5)+1)/(((MOVIMIENTOS!$C$5:$C$10004="Ingreso")+(MOVIMIENTOS!$C$5:$C$10004="Venta"))*(MOVIMIENTOS!$P$5:$P$10004="Pendiente")),ROWS($A$5:A20))),"")</f>
        <v/>
      </c>
      <c r="F20">
        <f>IF(A20="","",MAX(0,TODAY()-B20))</f>
        <v/>
      </c>
      <c r="G20">
        <f>IFERROR(INDEX(MOVIMIENTOS!$P$5:$P$10004,AGGREGATE(15,6,(ROW(MOVIMIENTOS!$P$5:$P$10004)-ROW(MOVIMIENTOS!$P$5)+1)/(((MOVIMIENTOS!$C$5:$C$10004="Ingreso")+(MOVIMIENTOS!$C$5:$C$10004="Venta"))*(MOVIMIENTOS!$P$5:$P$10004="Pendiente")),ROWS($A$5:A20))),"")</f>
        <v/>
      </c>
    </row>
    <row r="21">
      <c r="A21">
        <f>IFERROR(INDEX(MOVIMIENTOS!$A$5:$A$10004,AGGREGATE(15,6,(ROW(MOVIMIENTOS!$P$5:$P$10004)-ROW(MOVIMIENTOS!$P$5)+1)/(((MOVIMIENTOS!$C$5:$C$10004="Ingreso")+(MOVIMIENTOS!$C$5:$C$10004="Venta"))*(MOVIMIENTOS!$P$5:$P$10004="Pendiente")),ROWS($A$5:A21))),"")</f>
        <v/>
      </c>
      <c r="B21">
        <f>IFERROR(INDEX(MOVIMIENTOS!$B$5:$B$10004,AGGREGATE(15,6,(ROW(MOVIMIENTOS!$P$5:$P$10004)-ROW(MOVIMIENTOS!$P$5)+1)/(((MOVIMIENTOS!$C$5:$C$10004="Ingreso")+(MOVIMIENTOS!$C$5:$C$10004="Venta"))*(MOVIMIENTOS!$P$5:$P$10004="Pendiente")),ROWS($A$5:A21))),"")</f>
        <v/>
      </c>
      <c r="C21">
        <f>IFERROR(INDEX(MOVIMIENTOS!$E$5:$E$10004,AGGREGATE(15,6,(ROW(MOVIMIENTOS!$P$5:$P$10004)-ROW(MOVIMIENTOS!$P$5)+1)/(((MOVIMIENTOS!$C$5:$C$10004="Ingreso")+(MOVIMIENTOS!$C$5:$C$10004="Venta"))*(MOVIMIENTOS!$P$5:$P$10004="Pendiente")),ROWS($A$5:A21))),"")</f>
        <v/>
      </c>
      <c r="D21">
        <f>IFERROR(INDEX(MOVIMIENTOS!$D$5:$D$10004,AGGREGATE(15,6,(ROW(MOVIMIENTOS!$P$5:$P$10004)-ROW(MOVIMIENTOS!$P$5)+1)/(((MOVIMIENTOS!$C$5:$C$10004="Ingreso")+(MOVIMIENTOS!$C$5:$C$10004="Venta"))*(MOVIMIENTOS!$P$5:$P$10004="Pendiente")),ROWS($A$5:A21))),"")</f>
        <v/>
      </c>
      <c r="E21">
        <f>IFERROR(INDEX(MOVIMIENTOS!$O$5:$O$10004,AGGREGATE(15,6,(ROW(MOVIMIENTOS!$P$5:$P$10004)-ROW(MOVIMIENTOS!$P$5)+1)/(((MOVIMIENTOS!$C$5:$C$10004="Ingreso")+(MOVIMIENTOS!$C$5:$C$10004="Venta"))*(MOVIMIENTOS!$P$5:$P$10004="Pendiente")),ROWS($A$5:A21))),"")</f>
        <v/>
      </c>
      <c r="F21">
        <f>IF(A21="","",MAX(0,TODAY()-B21))</f>
        <v/>
      </c>
      <c r="G21">
        <f>IFERROR(INDEX(MOVIMIENTOS!$P$5:$P$10004,AGGREGATE(15,6,(ROW(MOVIMIENTOS!$P$5:$P$10004)-ROW(MOVIMIENTOS!$P$5)+1)/(((MOVIMIENTOS!$C$5:$C$10004="Ingreso")+(MOVIMIENTOS!$C$5:$C$10004="Venta"))*(MOVIMIENTOS!$P$5:$P$10004="Pendiente")),ROWS($A$5:A21))),"")</f>
        <v/>
      </c>
    </row>
    <row r="22">
      <c r="A22">
        <f>IFERROR(INDEX(MOVIMIENTOS!$A$5:$A$10004,AGGREGATE(15,6,(ROW(MOVIMIENTOS!$P$5:$P$10004)-ROW(MOVIMIENTOS!$P$5)+1)/(((MOVIMIENTOS!$C$5:$C$10004="Ingreso")+(MOVIMIENTOS!$C$5:$C$10004="Venta"))*(MOVIMIENTOS!$P$5:$P$10004="Pendiente")),ROWS($A$5:A22))),"")</f>
        <v/>
      </c>
      <c r="B22">
        <f>IFERROR(INDEX(MOVIMIENTOS!$B$5:$B$10004,AGGREGATE(15,6,(ROW(MOVIMIENTOS!$P$5:$P$10004)-ROW(MOVIMIENTOS!$P$5)+1)/(((MOVIMIENTOS!$C$5:$C$10004="Ingreso")+(MOVIMIENTOS!$C$5:$C$10004="Venta"))*(MOVIMIENTOS!$P$5:$P$10004="Pendiente")),ROWS($A$5:A22))),"")</f>
        <v/>
      </c>
      <c r="C22">
        <f>IFERROR(INDEX(MOVIMIENTOS!$E$5:$E$10004,AGGREGATE(15,6,(ROW(MOVIMIENTOS!$P$5:$P$10004)-ROW(MOVIMIENTOS!$P$5)+1)/(((MOVIMIENTOS!$C$5:$C$10004="Ingreso")+(MOVIMIENTOS!$C$5:$C$10004="Venta"))*(MOVIMIENTOS!$P$5:$P$10004="Pendiente")),ROWS($A$5:A22))),"")</f>
        <v/>
      </c>
      <c r="D22">
        <f>IFERROR(INDEX(MOVIMIENTOS!$D$5:$D$10004,AGGREGATE(15,6,(ROW(MOVIMIENTOS!$P$5:$P$10004)-ROW(MOVIMIENTOS!$P$5)+1)/(((MOVIMIENTOS!$C$5:$C$10004="Ingreso")+(MOVIMIENTOS!$C$5:$C$10004="Venta"))*(MOVIMIENTOS!$P$5:$P$10004="Pendiente")),ROWS($A$5:A22))),"")</f>
        <v/>
      </c>
      <c r="E22">
        <f>IFERROR(INDEX(MOVIMIENTOS!$O$5:$O$10004,AGGREGATE(15,6,(ROW(MOVIMIENTOS!$P$5:$P$10004)-ROW(MOVIMIENTOS!$P$5)+1)/(((MOVIMIENTOS!$C$5:$C$10004="Ingreso")+(MOVIMIENTOS!$C$5:$C$10004="Venta"))*(MOVIMIENTOS!$P$5:$P$10004="Pendiente")),ROWS($A$5:A22))),"")</f>
        <v/>
      </c>
      <c r="F22">
        <f>IF(A22="","",MAX(0,TODAY()-B22))</f>
        <v/>
      </c>
      <c r="G22">
        <f>IFERROR(INDEX(MOVIMIENTOS!$P$5:$P$10004,AGGREGATE(15,6,(ROW(MOVIMIENTOS!$P$5:$P$10004)-ROW(MOVIMIENTOS!$P$5)+1)/(((MOVIMIENTOS!$C$5:$C$10004="Ingreso")+(MOVIMIENTOS!$C$5:$C$10004="Venta"))*(MOVIMIENTOS!$P$5:$P$10004="Pendiente")),ROWS($A$5:A22))),"")</f>
        <v/>
      </c>
    </row>
    <row r="23">
      <c r="A23">
        <f>IFERROR(INDEX(MOVIMIENTOS!$A$5:$A$10004,AGGREGATE(15,6,(ROW(MOVIMIENTOS!$P$5:$P$10004)-ROW(MOVIMIENTOS!$P$5)+1)/(((MOVIMIENTOS!$C$5:$C$10004="Ingreso")+(MOVIMIENTOS!$C$5:$C$10004="Venta"))*(MOVIMIENTOS!$P$5:$P$10004="Pendiente")),ROWS($A$5:A23))),"")</f>
        <v/>
      </c>
      <c r="B23">
        <f>IFERROR(INDEX(MOVIMIENTOS!$B$5:$B$10004,AGGREGATE(15,6,(ROW(MOVIMIENTOS!$P$5:$P$10004)-ROW(MOVIMIENTOS!$P$5)+1)/(((MOVIMIENTOS!$C$5:$C$10004="Ingreso")+(MOVIMIENTOS!$C$5:$C$10004="Venta"))*(MOVIMIENTOS!$P$5:$P$10004="Pendiente")),ROWS($A$5:A23))),"")</f>
        <v/>
      </c>
      <c r="C23">
        <f>IFERROR(INDEX(MOVIMIENTOS!$E$5:$E$10004,AGGREGATE(15,6,(ROW(MOVIMIENTOS!$P$5:$P$10004)-ROW(MOVIMIENTOS!$P$5)+1)/(((MOVIMIENTOS!$C$5:$C$10004="Ingreso")+(MOVIMIENTOS!$C$5:$C$10004="Venta"))*(MOVIMIENTOS!$P$5:$P$10004="Pendiente")),ROWS($A$5:A23))),"")</f>
        <v/>
      </c>
      <c r="D23">
        <f>IFERROR(INDEX(MOVIMIENTOS!$D$5:$D$10004,AGGREGATE(15,6,(ROW(MOVIMIENTOS!$P$5:$P$10004)-ROW(MOVIMIENTOS!$P$5)+1)/(((MOVIMIENTOS!$C$5:$C$10004="Ingreso")+(MOVIMIENTOS!$C$5:$C$10004="Venta"))*(MOVIMIENTOS!$P$5:$P$10004="Pendiente")),ROWS($A$5:A23))),"")</f>
        <v/>
      </c>
      <c r="E23">
        <f>IFERROR(INDEX(MOVIMIENTOS!$O$5:$O$10004,AGGREGATE(15,6,(ROW(MOVIMIENTOS!$P$5:$P$10004)-ROW(MOVIMIENTOS!$P$5)+1)/(((MOVIMIENTOS!$C$5:$C$10004="Ingreso")+(MOVIMIENTOS!$C$5:$C$10004="Venta"))*(MOVIMIENTOS!$P$5:$P$10004="Pendiente")),ROWS($A$5:A23))),"")</f>
        <v/>
      </c>
      <c r="F23">
        <f>IF(A23="","",MAX(0,TODAY()-B23))</f>
        <v/>
      </c>
      <c r="G23">
        <f>IFERROR(INDEX(MOVIMIENTOS!$P$5:$P$10004,AGGREGATE(15,6,(ROW(MOVIMIENTOS!$P$5:$P$10004)-ROW(MOVIMIENTOS!$P$5)+1)/(((MOVIMIENTOS!$C$5:$C$10004="Ingreso")+(MOVIMIENTOS!$C$5:$C$10004="Venta"))*(MOVIMIENTOS!$P$5:$P$10004="Pendiente")),ROWS($A$5:A23))),"")</f>
        <v/>
      </c>
    </row>
    <row r="24">
      <c r="A24">
        <f>IFERROR(INDEX(MOVIMIENTOS!$A$5:$A$10004,AGGREGATE(15,6,(ROW(MOVIMIENTOS!$P$5:$P$10004)-ROW(MOVIMIENTOS!$P$5)+1)/(((MOVIMIENTOS!$C$5:$C$10004="Ingreso")+(MOVIMIENTOS!$C$5:$C$10004="Venta"))*(MOVIMIENTOS!$P$5:$P$10004="Pendiente")),ROWS($A$5:A24))),"")</f>
        <v/>
      </c>
      <c r="B24">
        <f>IFERROR(INDEX(MOVIMIENTOS!$B$5:$B$10004,AGGREGATE(15,6,(ROW(MOVIMIENTOS!$P$5:$P$10004)-ROW(MOVIMIENTOS!$P$5)+1)/(((MOVIMIENTOS!$C$5:$C$10004="Ingreso")+(MOVIMIENTOS!$C$5:$C$10004="Venta"))*(MOVIMIENTOS!$P$5:$P$10004="Pendiente")),ROWS($A$5:A24))),"")</f>
        <v/>
      </c>
      <c r="C24">
        <f>IFERROR(INDEX(MOVIMIENTOS!$E$5:$E$10004,AGGREGATE(15,6,(ROW(MOVIMIENTOS!$P$5:$P$10004)-ROW(MOVIMIENTOS!$P$5)+1)/(((MOVIMIENTOS!$C$5:$C$10004="Ingreso")+(MOVIMIENTOS!$C$5:$C$10004="Venta"))*(MOVIMIENTOS!$P$5:$P$10004="Pendiente")),ROWS($A$5:A24))),"")</f>
        <v/>
      </c>
      <c r="D24">
        <f>IFERROR(INDEX(MOVIMIENTOS!$D$5:$D$10004,AGGREGATE(15,6,(ROW(MOVIMIENTOS!$P$5:$P$10004)-ROW(MOVIMIENTOS!$P$5)+1)/(((MOVIMIENTOS!$C$5:$C$10004="Ingreso")+(MOVIMIENTOS!$C$5:$C$10004="Venta"))*(MOVIMIENTOS!$P$5:$P$10004="Pendiente")),ROWS($A$5:A24))),"")</f>
        <v/>
      </c>
      <c r="E24">
        <f>IFERROR(INDEX(MOVIMIENTOS!$O$5:$O$10004,AGGREGATE(15,6,(ROW(MOVIMIENTOS!$P$5:$P$10004)-ROW(MOVIMIENTOS!$P$5)+1)/(((MOVIMIENTOS!$C$5:$C$10004="Ingreso")+(MOVIMIENTOS!$C$5:$C$10004="Venta"))*(MOVIMIENTOS!$P$5:$P$10004="Pendiente")),ROWS($A$5:A24))),"")</f>
        <v/>
      </c>
      <c r="F24">
        <f>IF(A24="","",MAX(0,TODAY()-B24))</f>
        <v/>
      </c>
      <c r="G24">
        <f>IFERROR(INDEX(MOVIMIENTOS!$P$5:$P$10004,AGGREGATE(15,6,(ROW(MOVIMIENTOS!$P$5:$P$10004)-ROW(MOVIMIENTOS!$P$5)+1)/(((MOVIMIENTOS!$C$5:$C$10004="Ingreso")+(MOVIMIENTOS!$C$5:$C$10004="Venta"))*(MOVIMIENTOS!$P$5:$P$10004="Pendiente")),ROWS($A$5:A24))),"")</f>
        <v/>
      </c>
    </row>
    <row r="25">
      <c r="A25">
        <f>IFERROR(INDEX(MOVIMIENTOS!$A$5:$A$10004,AGGREGATE(15,6,(ROW(MOVIMIENTOS!$P$5:$P$10004)-ROW(MOVIMIENTOS!$P$5)+1)/(((MOVIMIENTOS!$C$5:$C$10004="Ingreso")+(MOVIMIENTOS!$C$5:$C$10004="Venta"))*(MOVIMIENTOS!$P$5:$P$10004="Pendiente")),ROWS($A$5:A25))),"")</f>
        <v/>
      </c>
      <c r="B25">
        <f>IFERROR(INDEX(MOVIMIENTOS!$B$5:$B$10004,AGGREGATE(15,6,(ROW(MOVIMIENTOS!$P$5:$P$10004)-ROW(MOVIMIENTOS!$P$5)+1)/(((MOVIMIENTOS!$C$5:$C$10004="Ingreso")+(MOVIMIENTOS!$C$5:$C$10004="Venta"))*(MOVIMIENTOS!$P$5:$P$10004="Pendiente")),ROWS($A$5:A25))),"")</f>
        <v/>
      </c>
      <c r="C25">
        <f>IFERROR(INDEX(MOVIMIENTOS!$E$5:$E$10004,AGGREGATE(15,6,(ROW(MOVIMIENTOS!$P$5:$P$10004)-ROW(MOVIMIENTOS!$P$5)+1)/(((MOVIMIENTOS!$C$5:$C$10004="Ingreso")+(MOVIMIENTOS!$C$5:$C$10004="Venta"))*(MOVIMIENTOS!$P$5:$P$10004="Pendiente")),ROWS($A$5:A25))),"")</f>
        <v/>
      </c>
      <c r="D25">
        <f>IFERROR(INDEX(MOVIMIENTOS!$D$5:$D$10004,AGGREGATE(15,6,(ROW(MOVIMIENTOS!$P$5:$P$10004)-ROW(MOVIMIENTOS!$P$5)+1)/(((MOVIMIENTOS!$C$5:$C$10004="Ingreso")+(MOVIMIENTOS!$C$5:$C$10004="Venta"))*(MOVIMIENTOS!$P$5:$P$10004="Pendiente")),ROWS($A$5:A25))),"")</f>
        <v/>
      </c>
      <c r="E25">
        <f>IFERROR(INDEX(MOVIMIENTOS!$O$5:$O$10004,AGGREGATE(15,6,(ROW(MOVIMIENTOS!$P$5:$P$10004)-ROW(MOVIMIENTOS!$P$5)+1)/(((MOVIMIENTOS!$C$5:$C$10004="Ingreso")+(MOVIMIENTOS!$C$5:$C$10004="Venta"))*(MOVIMIENTOS!$P$5:$P$10004="Pendiente")),ROWS($A$5:A25))),"")</f>
        <v/>
      </c>
      <c r="F25">
        <f>IF(A25="","",MAX(0,TODAY()-B25))</f>
        <v/>
      </c>
      <c r="G25">
        <f>IFERROR(INDEX(MOVIMIENTOS!$P$5:$P$10004,AGGREGATE(15,6,(ROW(MOVIMIENTOS!$P$5:$P$10004)-ROW(MOVIMIENTOS!$P$5)+1)/(((MOVIMIENTOS!$C$5:$C$10004="Ingreso")+(MOVIMIENTOS!$C$5:$C$10004="Venta"))*(MOVIMIENTOS!$P$5:$P$10004="Pendiente")),ROWS($A$5:A25))),"")</f>
        <v/>
      </c>
    </row>
    <row r="26">
      <c r="A26">
        <f>IFERROR(INDEX(MOVIMIENTOS!$A$5:$A$10004,AGGREGATE(15,6,(ROW(MOVIMIENTOS!$P$5:$P$10004)-ROW(MOVIMIENTOS!$P$5)+1)/(((MOVIMIENTOS!$C$5:$C$10004="Ingreso")+(MOVIMIENTOS!$C$5:$C$10004="Venta"))*(MOVIMIENTOS!$P$5:$P$10004="Pendiente")),ROWS($A$5:A26))),"")</f>
        <v/>
      </c>
      <c r="B26">
        <f>IFERROR(INDEX(MOVIMIENTOS!$B$5:$B$10004,AGGREGATE(15,6,(ROW(MOVIMIENTOS!$P$5:$P$10004)-ROW(MOVIMIENTOS!$P$5)+1)/(((MOVIMIENTOS!$C$5:$C$10004="Ingreso")+(MOVIMIENTOS!$C$5:$C$10004="Venta"))*(MOVIMIENTOS!$P$5:$P$10004="Pendiente")),ROWS($A$5:A26))),"")</f>
        <v/>
      </c>
      <c r="C26">
        <f>IFERROR(INDEX(MOVIMIENTOS!$E$5:$E$10004,AGGREGATE(15,6,(ROW(MOVIMIENTOS!$P$5:$P$10004)-ROW(MOVIMIENTOS!$P$5)+1)/(((MOVIMIENTOS!$C$5:$C$10004="Ingreso")+(MOVIMIENTOS!$C$5:$C$10004="Venta"))*(MOVIMIENTOS!$P$5:$P$10004="Pendiente")),ROWS($A$5:A26))),"")</f>
        <v/>
      </c>
      <c r="D26">
        <f>IFERROR(INDEX(MOVIMIENTOS!$D$5:$D$10004,AGGREGATE(15,6,(ROW(MOVIMIENTOS!$P$5:$P$10004)-ROW(MOVIMIENTOS!$P$5)+1)/(((MOVIMIENTOS!$C$5:$C$10004="Ingreso")+(MOVIMIENTOS!$C$5:$C$10004="Venta"))*(MOVIMIENTOS!$P$5:$P$10004="Pendiente")),ROWS($A$5:A26))),"")</f>
        <v/>
      </c>
      <c r="E26">
        <f>IFERROR(INDEX(MOVIMIENTOS!$O$5:$O$10004,AGGREGATE(15,6,(ROW(MOVIMIENTOS!$P$5:$P$10004)-ROW(MOVIMIENTOS!$P$5)+1)/(((MOVIMIENTOS!$C$5:$C$10004="Ingreso")+(MOVIMIENTOS!$C$5:$C$10004="Venta"))*(MOVIMIENTOS!$P$5:$P$10004="Pendiente")),ROWS($A$5:A26))),"")</f>
        <v/>
      </c>
      <c r="F26">
        <f>IF(A26="","",MAX(0,TODAY()-B26))</f>
        <v/>
      </c>
      <c r="G26">
        <f>IFERROR(INDEX(MOVIMIENTOS!$P$5:$P$10004,AGGREGATE(15,6,(ROW(MOVIMIENTOS!$P$5:$P$10004)-ROW(MOVIMIENTOS!$P$5)+1)/(((MOVIMIENTOS!$C$5:$C$10004="Ingreso")+(MOVIMIENTOS!$C$5:$C$10004="Venta"))*(MOVIMIENTOS!$P$5:$P$10004="Pendiente")),ROWS($A$5:A26))),"")</f>
        <v/>
      </c>
    </row>
    <row r="27">
      <c r="A27">
        <f>IFERROR(INDEX(MOVIMIENTOS!$A$5:$A$10004,AGGREGATE(15,6,(ROW(MOVIMIENTOS!$P$5:$P$10004)-ROW(MOVIMIENTOS!$P$5)+1)/(((MOVIMIENTOS!$C$5:$C$10004="Ingreso")+(MOVIMIENTOS!$C$5:$C$10004="Venta"))*(MOVIMIENTOS!$P$5:$P$10004="Pendiente")),ROWS($A$5:A27))),"")</f>
        <v/>
      </c>
      <c r="B27">
        <f>IFERROR(INDEX(MOVIMIENTOS!$B$5:$B$10004,AGGREGATE(15,6,(ROW(MOVIMIENTOS!$P$5:$P$10004)-ROW(MOVIMIENTOS!$P$5)+1)/(((MOVIMIENTOS!$C$5:$C$10004="Ingreso")+(MOVIMIENTOS!$C$5:$C$10004="Venta"))*(MOVIMIENTOS!$P$5:$P$10004="Pendiente")),ROWS($A$5:A27))),"")</f>
        <v/>
      </c>
      <c r="C27">
        <f>IFERROR(INDEX(MOVIMIENTOS!$E$5:$E$10004,AGGREGATE(15,6,(ROW(MOVIMIENTOS!$P$5:$P$10004)-ROW(MOVIMIENTOS!$P$5)+1)/(((MOVIMIENTOS!$C$5:$C$10004="Ingreso")+(MOVIMIENTOS!$C$5:$C$10004="Venta"))*(MOVIMIENTOS!$P$5:$P$10004="Pendiente")),ROWS($A$5:A27))),"")</f>
        <v/>
      </c>
      <c r="D27">
        <f>IFERROR(INDEX(MOVIMIENTOS!$D$5:$D$10004,AGGREGATE(15,6,(ROW(MOVIMIENTOS!$P$5:$P$10004)-ROW(MOVIMIENTOS!$P$5)+1)/(((MOVIMIENTOS!$C$5:$C$10004="Ingreso")+(MOVIMIENTOS!$C$5:$C$10004="Venta"))*(MOVIMIENTOS!$P$5:$P$10004="Pendiente")),ROWS($A$5:A27))),"")</f>
        <v/>
      </c>
      <c r="E27">
        <f>IFERROR(INDEX(MOVIMIENTOS!$O$5:$O$10004,AGGREGATE(15,6,(ROW(MOVIMIENTOS!$P$5:$P$10004)-ROW(MOVIMIENTOS!$P$5)+1)/(((MOVIMIENTOS!$C$5:$C$10004="Ingreso")+(MOVIMIENTOS!$C$5:$C$10004="Venta"))*(MOVIMIENTOS!$P$5:$P$10004="Pendiente")),ROWS($A$5:A27))),"")</f>
        <v/>
      </c>
      <c r="F27">
        <f>IF(A27="","",MAX(0,TODAY()-B27))</f>
        <v/>
      </c>
      <c r="G27">
        <f>IFERROR(INDEX(MOVIMIENTOS!$P$5:$P$10004,AGGREGATE(15,6,(ROW(MOVIMIENTOS!$P$5:$P$10004)-ROW(MOVIMIENTOS!$P$5)+1)/(((MOVIMIENTOS!$C$5:$C$10004="Ingreso")+(MOVIMIENTOS!$C$5:$C$10004="Venta"))*(MOVIMIENTOS!$P$5:$P$10004="Pendiente")),ROWS($A$5:A27))),"")</f>
        <v/>
      </c>
    </row>
    <row r="28">
      <c r="A28">
        <f>IFERROR(INDEX(MOVIMIENTOS!$A$5:$A$10004,AGGREGATE(15,6,(ROW(MOVIMIENTOS!$P$5:$P$10004)-ROW(MOVIMIENTOS!$P$5)+1)/(((MOVIMIENTOS!$C$5:$C$10004="Ingreso")+(MOVIMIENTOS!$C$5:$C$10004="Venta"))*(MOVIMIENTOS!$P$5:$P$10004="Pendiente")),ROWS($A$5:A28))),"")</f>
        <v/>
      </c>
      <c r="B28">
        <f>IFERROR(INDEX(MOVIMIENTOS!$B$5:$B$10004,AGGREGATE(15,6,(ROW(MOVIMIENTOS!$P$5:$P$10004)-ROW(MOVIMIENTOS!$P$5)+1)/(((MOVIMIENTOS!$C$5:$C$10004="Ingreso")+(MOVIMIENTOS!$C$5:$C$10004="Venta"))*(MOVIMIENTOS!$P$5:$P$10004="Pendiente")),ROWS($A$5:A28))),"")</f>
        <v/>
      </c>
      <c r="C28">
        <f>IFERROR(INDEX(MOVIMIENTOS!$E$5:$E$10004,AGGREGATE(15,6,(ROW(MOVIMIENTOS!$P$5:$P$10004)-ROW(MOVIMIENTOS!$P$5)+1)/(((MOVIMIENTOS!$C$5:$C$10004="Ingreso")+(MOVIMIENTOS!$C$5:$C$10004="Venta"))*(MOVIMIENTOS!$P$5:$P$10004="Pendiente")),ROWS($A$5:A28))),"")</f>
        <v/>
      </c>
      <c r="D28">
        <f>IFERROR(INDEX(MOVIMIENTOS!$D$5:$D$10004,AGGREGATE(15,6,(ROW(MOVIMIENTOS!$P$5:$P$10004)-ROW(MOVIMIENTOS!$P$5)+1)/(((MOVIMIENTOS!$C$5:$C$10004="Ingreso")+(MOVIMIENTOS!$C$5:$C$10004="Venta"))*(MOVIMIENTOS!$P$5:$P$10004="Pendiente")),ROWS($A$5:A28))),"")</f>
        <v/>
      </c>
      <c r="E28">
        <f>IFERROR(INDEX(MOVIMIENTOS!$O$5:$O$10004,AGGREGATE(15,6,(ROW(MOVIMIENTOS!$P$5:$P$10004)-ROW(MOVIMIENTOS!$P$5)+1)/(((MOVIMIENTOS!$C$5:$C$10004="Ingreso")+(MOVIMIENTOS!$C$5:$C$10004="Venta"))*(MOVIMIENTOS!$P$5:$P$10004="Pendiente")),ROWS($A$5:A28))),"")</f>
        <v/>
      </c>
      <c r="F28">
        <f>IF(A28="","",MAX(0,TODAY()-B28))</f>
        <v/>
      </c>
      <c r="G28">
        <f>IFERROR(INDEX(MOVIMIENTOS!$P$5:$P$10004,AGGREGATE(15,6,(ROW(MOVIMIENTOS!$P$5:$P$10004)-ROW(MOVIMIENTOS!$P$5)+1)/(((MOVIMIENTOS!$C$5:$C$10004="Ingreso")+(MOVIMIENTOS!$C$5:$C$10004="Venta"))*(MOVIMIENTOS!$P$5:$P$10004="Pendiente")),ROWS($A$5:A28))),"")</f>
        <v/>
      </c>
    </row>
    <row r="29">
      <c r="A29">
        <f>IFERROR(INDEX(MOVIMIENTOS!$A$5:$A$10004,AGGREGATE(15,6,(ROW(MOVIMIENTOS!$P$5:$P$10004)-ROW(MOVIMIENTOS!$P$5)+1)/(((MOVIMIENTOS!$C$5:$C$10004="Ingreso")+(MOVIMIENTOS!$C$5:$C$10004="Venta"))*(MOVIMIENTOS!$P$5:$P$10004="Pendiente")),ROWS($A$5:A29))),"")</f>
        <v/>
      </c>
      <c r="B29">
        <f>IFERROR(INDEX(MOVIMIENTOS!$B$5:$B$10004,AGGREGATE(15,6,(ROW(MOVIMIENTOS!$P$5:$P$10004)-ROW(MOVIMIENTOS!$P$5)+1)/(((MOVIMIENTOS!$C$5:$C$10004="Ingreso")+(MOVIMIENTOS!$C$5:$C$10004="Venta"))*(MOVIMIENTOS!$P$5:$P$10004="Pendiente")),ROWS($A$5:A29))),"")</f>
        <v/>
      </c>
      <c r="C29">
        <f>IFERROR(INDEX(MOVIMIENTOS!$E$5:$E$10004,AGGREGATE(15,6,(ROW(MOVIMIENTOS!$P$5:$P$10004)-ROW(MOVIMIENTOS!$P$5)+1)/(((MOVIMIENTOS!$C$5:$C$10004="Ingreso")+(MOVIMIENTOS!$C$5:$C$10004="Venta"))*(MOVIMIENTOS!$P$5:$P$10004="Pendiente")),ROWS($A$5:A29))),"")</f>
        <v/>
      </c>
      <c r="D29">
        <f>IFERROR(INDEX(MOVIMIENTOS!$D$5:$D$10004,AGGREGATE(15,6,(ROW(MOVIMIENTOS!$P$5:$P$10004)-ROW(MOVIMIENTOS!$P$5)+1)/(((MOVIMIENTOS!$C$5:$C$10004="Ingreso")+(MOVIMIENTOS!$C$5:$C$10004="Venta"))*(MOVIMIENTOS!$P$5:$P$10004="Pendiente")),ROWS($A$5:A29))),"")</f>
        <v/>
      </c>
      <c r="E29">
        <f>IFERROR(INDEX(MOVIMIENTOS!$O$5:$O$10004,AGGREGATE(15,6,(ROW(MOVIMIENTOS!$P$5:$P$10004)-ROW(MOVIMIENTOS!$P$5)+1)/(((MOVIMIENTOS!$C$5:$C$10004="Ingreso")+(MOVIMIENTOS!$C$5:$C$10004="Venta"))*(MOVIMIENTOS!$P$5:$P$10004="Pendiente")),ROWS($A$5:A29))),"")</f>
        <v/>
      </c>
      <c r="F29">
        <f>IF(A29="","",MAX(0,TODAY()-B29))</f>
        <v/>
      </c>
      <c r="G29">
        <f>IFERROR(INDEX(MOVIMIENTOS!$P$5:$P$10004,AGGREGATE(15,6,(ROW(MOVIMIENTOS!$P$5:$P$10004)-ROW(MOVIMIENTOS!$P$5)+1)/(((MOVIMIENTOS!$C$5:$C$10004="Ingreso")+(MOVIMIENTOS!$C$5:$C$10004="Venta"))*(MOVIMIENTOS!$P$5:$P$10004="Pendiente")),ROWS($A$5:A29))),"")</f>
        <v/>
      </c>
    </row>
    <row r="30">
      <c r="A30">
        <f>IFERROR(INDEX(MOVIMIENTOS!$A$5:$A$10004,AGGREGATE(15,6,(ROW(MOVIMIENTOS!$P$5:$P$10004)-ROW(MOVIMIENTOS!$P$5)+1)/(((MOVIMIENTOS!$C$5:$C$10004="Ingreso")+(MOVIMIENTOS!$C$5:$C$10004="Venta"))*(MOVIMIENTOS!$P$5:$P$10004="Pendiente")),ROWS($A$5:A30))),"")</f>
        <v/>
      </c>
      <c r="B30">
        <f>IFERROR(INDEX(MOVIMIENTOS!$B$5:$B$10004,AGGREGATE(15,6,(ROW(MOVIMIENTOS!$P$5:$P$10004)-ROW(MOVIMIENTOS!$P$5)+1)/(((MOVIMIENTOS!$C$5:$C$10004="Ingreso")+(MOVIMIENTOS!$C$5:$C$10004="Venta"))*(MOVIMIENTOS!$P$5:$P$10004="Pendiente")),ROWS($A$5:A30))),"")</f>
        <v/>
      </c>
      <c r="C30">
        <f>IFERROR(INDEX(MOVIMIENTOS!$E$5:$E$10004,AGGREGATE(15,6,(ROW(MOVIMIENTOS!$P$5:$P$10004)-ROW(MOVIMIENTOS!$P$5)+1)/(((MOVIMIENTOS!$C$5:$C$10004="Ingreso")+(MOVIMIENTOS!$C$5:$C$10004="Venta"))*(MOVIMIENTOS!$P$5:$P$10004="Pendiente")),ROWS($A$5:A30))),"")</f>
        <v/>
      </c>
      <c r="D30">
        <f>IFERROR(INDEX(MOVIMIENTOS!$D$5:$D$10004,AGGREGATE(15,6,(ROW(MOVIMIENTOS!$P$5:$P$10004)-ROW(MOVIMIENTOS!$P$5)+1)/(((MOVIMIENTOS!$C$5:$C$10004="Ingreso")+(MOVIMIENTOS!$C$5:$C$10004="Venta"))*(MOVIMIENTOS!$P$5:$P$10004="Pendiente")),ROWS($A$5:A30))),"")</f>
        <v/>
      </c>
      <c r="E30">
        <f>IFERROR(INDEX(MOVIMIENTOS!$O$5:$O$10004,AGGREGATE(15,6,(ROW(MOVIMIENTOS!$P$5:$P$10004)-ROW(MOVIMIENTOS!$P$5)+1)/(((MOVIMIENTOS!$C$5:$C$10004="Ingreso")+(MOVIMIENTOS!$C$5:$C$10004="Venta"))*(MOVIMIENTOS!$P$5:$P$10004="Pendiente")),ROWS($A$5:A30))),"")</f>
        <v/>
      </c>
      <c r="F30">
        <f>IF(A30="","",MAX(0,TODAY()-B30))</f>
        <v/>
      </c>
      <c r="G30">
        <f>IFERROR(INDEX(MOVIMIENTOS!$P$5:$P$10004,AGGREGATE(15,6,(ROW(MOVIMIENTOS!$P$5:$P$10004)-ROW(MOVIMIENTOS!$P$5)+1)/(((MOVIMIENTOS!$C$5:$C$10004="Ingreso")+(MOVIMIENTOS!$C$5:$C$10004="Venta"))*(MOVIMIENTOS!$P$5:$P$10004="Pendiente")),ROWS($A$5:A30))),"")</f>
        <v/>
      </c>
    </row>
    <row r="31">
      <c r="A31">
        <f>IFERROR(INDEX(MOVIMIENTOS!$A$5:$A$10004,AGGREGATE(15,6,(ROW(MOVIMIENTOS!$P$5:$P$10004)-ROW(MOVIMIENTOS!$P$5)+1)/(((MOVIMIENTOS!$C$5:$C$10004="Ingreso")+(MOVIMIENTOS!$C$5:$C$10004="Venta"))*(MOVIMIENTOS!$P$5:$P$10004="Pendiente")),ROWS($A$5:A31))),"")</f>
        <v/>
      </c>
      <c r="B31">
        <f>IFERROR(INDEX(MOVIMIENTOS!$B$5:$B$10004,AGGREGATE(15,6,(ROW(MOVIMIENTOS!$P$5:$P$10004)-ROW(MOVIMIENTOS!$P$5)+1)/(((MOVIMIENTOS!$C$5:$C$10004="Ingreso")+(MOVIMIENTOS!$C$5:$C$10004="Venta"))*(MOVIMIENTOS!$P$5:$P$10004="Pendiente")),ROWS($A$5:A31))),"")</f>
        <v/>
      </c>
      <c r="C31">
        <f>IFERROR(INDEX(MOVIMIENTOS!$E$5:$E$10004,AGGREGATE(15,6,(ROW(MOVIMIENTOS!$P$5:$P$10004)-ROW(MOVIMIENTOS!$P$5)+1)/(((MOVIMIENTOS!$C$5:$C$10004="Ingreso")+(MOVIMIENTOS!$C$5:$C$10004="Venta"))*(MOVIMIENTOS!$P$5:$P$10004="Pendiente")),ROWS($A$5:A31))),"")</f>
        <v/>
      </c>
      <c r="D31">
        <f>IFERROR(INDEX(MOVIMIENTOS!$D$5:$D$10004,AGGREGATE(15,6,(ROW(MOVIMIENTOS!$P$5:$P$10004)-ROW(MOVIMIENTOS!$P$5)+1)/(((MOVIMIENTOS!$C$5:$C$10004="Ingreso")+(MOVIMIENTOS!$C$5:$C$10004="Venta"))*(MOVIMIENTOS!$P$5:$P$10004="Pendiente")),ROWS($A$5:A31))),"")</f>
        <v/>
      </c>
      <c r="E31">
        <f>IFERROR(INDEX(MOVIMIENTOS!$O$5:$O$10004,AGGREGATE(15,6,(ROW(MOVIMIENTOS!$P$5:$P$10004)-ROW(MOVIMIENTOS!$P$5)+1)/(((MOVIMIENTOS!$C$5:$C$10004="Ingreso")+(MOVIMIENTOS!$C$5:$C$10004="Venta"))*(MOVIMIENTOS!$P$5:$P$10004="Pendiente")),ROWS($A$5:A31))),"")</f>
        <v/>
      </c>
      <c r="F31">
        <f>IF(A31="","",MAX(0,TODAY()-B31))</f>
        <v/>
      </c>
      <c r="G31">
        <f>IFERROR(INDEX(MOVIMIENTOS!$P$5:$P$10004,AGGREGATE(15,6,(ROW(MOVIMIENTOS!$P$5:$P$10004)-ROW(MOVIMIENTOS!$P$5)+1)/(((MOVIMIENTOS!$C$5:$C$10004="Ingreso")+(MOVIMIENTOS!$C$5:$C$10004="Venta"))*(MOVIMIENTOS!$P$5:$P$10004="Pendiente")),ROWS($A$5:A31))),"")</f>
        <v/>
      </c>
    </row>
    <row r="32">
      <c r="A32">
        <f>IFERROR(INDEX(MOVIMIENTOS!$A$5:$A$10004,AGGREGATE(15,6,(ROW(MOVIMIENTOS!$P$5:$P$10004)-ROW(MOVIMIENTOS!$P$5)+1)/(((MOVIMIENTOS!$C$5:$C$10004="Ingreso")+(MOVIMIENTOS!$C$5:$C$10004="Venta"))*(MOVIMIENTOS!$P$5:$P$10004="Pendiente")),ROWS($A$5:A32))),"")</f>
        <v/>
      </c>
      <c r="B32">
        <f>IFERROR(INDEX(MOVIMIENTOS!$B$5:$B$10004,AGGREGATE(15,6,(ROW(MOVIMIENTOS!$P$5:$P$10004)-ROW(MOVIMIENTOS!$P$5)+1)/(((MOVIMIENTOS!$C$5:$C$10004="Ingreso")+(MOVIMIENTOS!$C$5:$C$10004="Venta"))*(MOVIMIENTOS!$P$5:$P$10004="Pendiente")),ROWS($A$5:A32))),"")</f>
        <v/>
      </c>
      <c r="C32">
        <f>IFERROR(INDEX(MOVIMIENTOS!$E$5:$E$10004,AGGREGATE(15,6,(ROW(MOVIMIENTOS!$P$5:$P$10004)-ROW(MOVIMIENTOS!$P$5)+1)/(((MOVIMIENTOS!$C$5:$C$10004="Ingreso")+(MOVIMIENTOS!$C$5:$C$10004="Venta"))*(MOVIMIENTOS!$P$5:$P$10004="Pendiente")),ROWS($A$5:A32))),"")</f>
        <v/>
      </c>
      <c r="D32">
        <f>IFERROR(INDEX(MOVIMIENTOS!$D$5:$D$10004,AGGREGATE(15,6,(ROW(MOVIMIENTOS!$P$5:$P$10004)-ROW(MOVIMIENTOS!$P$5)+1)/(((MOVIMIENTOS!$C$5:$C$10004="Ingreso")+(MOVIMIENTOS!$C$5:$C$10004="Venta"))*(MOVIMIENTOS!$P$5:$P$10004="Pendiente")),ROWS($A$5:A32))),"")</f>
        <v/>
      </c>
      <c r="E32">
        <f>IFERROR(INDEX(MOVIMIENTOS!$O$5:$O$10004,AGGREGATE(15,6,(ROW(MOVIMIENTOS!$P$5:$P$10004)-ROW(MOVIMIENTOS!$P$5)+1)/(((MOVIMIENTOS!$C$5:$C$10004="Ingreso")+(MOVIMIENTOS!$C$5:$C$10004="Venta"))*(MOVIMIENTOS!$P$5:$P$10004="Pendiente")),ROWS($A$5:A32))),"")</f>
        <v/>
      </c>
      <c r="F32">
        <f>IF(A32="","",MAX(0,TODAY()-B32))</f>
        <v/>
      </c>
      <c r="G32">
        <f>IFERROR(INDEX(MOVIMIENTOS!$P$5:$P$10004,AGGREGATE(15,6,(ROW(MOVIMIENTOS!$P$5:$P$10004)-ROW(MOVIMIENTOS!$P$5)+1)/(((MOVIMIENTOS!$C$5:$C$10004="Ingreso")+(MOVIMIENTOS!$C$5:$C$10004="Venta"))*(MOVIMIENTOS!$P$5:$P$10004="Pendiente")),ROWS($A$5:A32))),"")</f>
        <v/>
      </c>
    </row>
    <row r="33">
      <c r="A33">
        <f>IFERROR(INDEX(MOVIMIENTOS!$A$5:$A$10004,AGGREGATE(15,6,(ROW(MOVIMIENTOS!$P$5:$P$10004)-ROW(MOVIMIENTOS!$P$5)+1)/(((MOVIMIENTOS!$C$5:$C$10004="Ingreso")+(MOVIMIENTOS!$C$5:$C$10004="Venta"))*(MOVIMIENTOS!$P$5:$P$10004="Pendiente")),ROWS($A$5:A33))),"")</f>
        <v/>
      </c>
      <c r="B33">
        <f>IFERROR(INDEX(MOVIMIENTOS!$B$5:$B$10004,AGGREGATE(15,6,(ROW(MOVIMIENTOS!$P$5:$P$10004)-ROW(MOVIMIENTOS!$P$5)+1)/(((MOVIMIENTOS!$C$5:$C$10004="Ingreso")+(MOVIMIENTOS!$C$5:$C$10004="Venta"))*(MOVIMIENTOS!$P$5:$P$10004="Pendiente")),ROWS($A$5:A33))),"")</f>
        <v/>
      </c>
      <c r="C33">
        <f>IFERROR(INDEX(MOVIMIENTOS!$E$5:$E$10004,AGGREGATE(15,6,(ROW(MOVIMIENTOS!$P$5:$P$10004)-ROW(MOVIMIENTOS!$P$5)+1)/(((MOVIMIENTOS!$C$5:$C$10004="Ingreso")+(MOVIMIENTOS!$C$5:$C$10004="Venta"))*(MOVIMIENTOS!$P$5:$P$10004="Pendiente")),ROWS($A$5:A33))),"")</f>
        <v/>
      </c>
      <c r="D33">
        <f>IFERROR(INDEX(MOVIMIENTOS!$D$5:$D$10004,AGGREGATE(15,6,(ROW(MOVIMIENTOS!$P$5:$P$10004)-ROW(MOVIMIENTOS!$P$5)+1)/(((MOVIMIENTOS!$C$5:$C$10004="Ingreso")+(MOVIMIENTOS!$C$5:$C$10004="Venta"))*(MOVIMIENTOS!$P$5:$P$10004="Pendiente")),ROWS($A$5:A33))),"")</f>
        <v/>
      </c>
      <c r="E33">
        <f>IFERROR(INDEX(MOVIMIENTOS!$O$5:$O$10004,AGGREGATE(15,6,(ROW(MOVIMIENTOS!$P$5:$P$10004)-ROW(MOVIMIENTOS!$P$5)+1)/(((MOVIMIENTOS!$C$5:$C$10004="Ingreso")+(MOVIMIENTOS!$C$5:$C$10004="Venta"))*(MOVIMIENTOS!$P$5:$P$10004="Pendiente")),ROWS($A$5:A33))),"")</f>
        <v/>
      </c>
      <c r="F33">
        <f>IF(A33="","",MAX(0,TODAY()-B33))</f>
        <v/>
      </c>
      <c r="G33">
        <f>IFERROR(INDEX(MOVIMIENTOS!$P$5:$P$10004,AGGREGATE(15,6,(ROW(MOVIMIENTOS!$P$5:$P$10004)-ROW(MOVIMIENTOS!$P$5)+1)/(((MOVIMIENTOS!$C$5:$C$10004="Ingreso")+(MOVIMIENTOS!$C$5:$C$10004="Venta"))*(MOVIMIENTOS!$P$5:$P$10004="Pendiente")),ROWS($A$5:A33))),"")</f>
        <v/>
      </c>
    </row>
    <row r="34">
      <c r="A34">
        <f>IFERROR(INDEX(MOVIMIENTOS!$A$5:$A$10004,AGGREGATE(15,6,(ROW(MOVIMIENTOS!$P$5:$P$10004)-ROW(MOVIMIENTOS!$P$5)+1)/(((MOVIMIENTOS!$C$5:$C$10004="Ingreso")+(MOVIMIENTOS!$C$5:$C$10004="Venta"))*(MOVIMIENTOS!$P$5:$P$10004="Pendiente")),ROWS($A$5:A34))),"")</f>
        <v/>
      </c>
      <c r="B34">
        <f>IFERROR(INDEX(MOVIMIENTOS!$B$5:$B$10004,AGGREGATE(15,6,(ROW(MOVIMIENTOS!$P$5:$P$10004)-ROW(MOVIMIENTOS!$P$5)+1)/(((MOVIMIENTOS!$C$5:$C$10004="Ingreso")+(MOVIMIENTOS!$C$5:$C$10004="Venta"))*(MOVIMIENTOS!$P$5:$P$10004="Pendiente")),ROWS($A$5:A34))),"")</f>
        <v/>
      </c>
      <c r="C34">
        <f>IFERROR(INDEX(MOVIMIENTOS!$E$5:$E$10004,AGGREGATE(15,6,(ROW(MOVIMIENTOS!$P$5:$P$10004)-ROW(MOVIMIENTOS!$P$5)+1)/(((MOVIMIENTOS!$C$5:$C$10004="Ingreso")+(MOVIMIENTOS!$C$5:$C$10004="Venta"))*(MOVIMIENTOS!$P$5:$P$10004="Pendiente")),ROWS($A$5:A34))),"")</f>
        <v/>
      </c>
      <c r="D34">
        <f>IFERROR(INDEX(MOVIMIENTOS!$D$5:$D$10004,AGGREGATE(15,6,(ROW(MOVIMIENTOS!$P$5:$P$10004)-ROW(MOVIMIENTOS!$P$5)+1)/(((MOVIMIENTOS!$C$5:$C$10004="Ingreso")+(MOVIMIENTOS!$C$5:$C$10004="Venta"))*(MOVIMIENTOS!$P$5:$P$10004="Pendiente")),ROWS($A$5:A34))),"")</f>
        <v/>
      </c>
      <c r="E34">
        <f>IFERROR(INDEX(MOVIMIENTOS!$O$5:$O$10004,AGGREGATE(15,6,(ROW(MOVIMIENTOS!$P$5:$P$10004)-ROW(MOVIMIENTOS!$P$5)+1)/(((MOVIMIENTOS!$C$5:$C$10004="Ingreso")+(MOVIMIENTOS!$C$5:$C$10004="Venta"))*(MOVIMIENTOS!$P$5:$P$10004="Pendiente")),ROWS($A$5:A34))),"")</f>
        <v/>
      </c>
      <c r="F34">
        <f>IF(A34="","",MAX(0,TODAY()-B34))</f>
        <v/>
      </c>
      <c r="G34">
        <f>IFERROR(INDEX(MOVIMIENTOS!$P$5:$P$10004,AGGREGATE(15,6,(ROW(MOVIMIENTOS!$P$5:$P$10004)-ROW(MOVIMIENTOS!$P$5)+1)/(((MOVIMIENTOS!$C$5:$C$10004="Ingreso")+(MOVIMIENTOS!$C$5:$C$10004="Venta"))*(MOVIMIENTOS!$P$5:$P$10004="Pendiente")),ROWS($A$5:A34))),"")</f>
        <v/>
      </c>
    </row>
    <row r="35">
      <c r="A35">
        <f>IFERROR(INDEX(MOVIMIENTOS!$A$5:$A$10004,AGGREGATE(15,6,(ROW(MOVIMIENTOS!$P$5:$P$10004)-ROW(MOVIMIENTOS!$P$5)+1)/(((MOVIMIENTOS!$C$5:$C$10004="Ingreso")+(MOVIMIENTOS!$C$5:$C$10004="Venta"))*(MOVIMIENTOS!$P$5:$P$10004="Pendiente")),ROWS($A$5:A35))),"")</f>
        <v/>
      </c>
      <c r="B35">
        <f>IFERROR(INDEX(MOVIMIENTOS!$B$5:$B$10004,AGGREGATE(15,6,(ROW(MOVIMIENTOS!$P$5:$P$10004)-ROW(MOVIMIENTOS!$P$5)+1)/(((MOVIMIENTOS!$C$5:$C$10004="Ingreso")+(MOVIMIENTOS!$C$5:$C$10004="Venta"))*(MOVIMIENTOS!$P$5:$P$10004="Pendiente")),ROWS($A$5:A35))),"")</f>
        <v/>
      </c>
      <c r="C35">
        <f>IFERROR(INDEX(MOVIMIENTOS!$E$5:$E$10004,AGGREGATE(15,6,(ROW(MOVIMIENTOS!$P$5:$P$10004)-ROW(MOVIMIENTOS!$P$5)+1)/(((MOVIMIENTOS!$C$5:$C$10004="Ingreso")+(MOVIMIENTOS!$C$5:$C$10004="Venta"))*(MOVIMIENTOS!$P$5:$P$10004="Pendiente")),ROWS($A$5:A35))),"")</f>
        <v/>
      </c>
      <c r="D35">
        <f>IFERROR(INDEX(MOVIMIENTOS!$D$5:$D$10004,AGGREGATE(15,6,(ROW(MOVIMIENTOS!$P$5:$P$10004)-ROW(MOVIMIENTOS!$P$5)+1)/(((MOVIMIENTOS!$C$5:$C$10004="Ingreso")+(MOVIMIENTOS!$C$5:$C$10004="Venta"))*(MOVIMIENTOS!$P$5:$P$10004="Pendiente")),ROWS($A$5:A35))),"")</f>
        <v/>
      </c>
      <c r="E35">
        <f>IFERROR(INDEX(MOVIMIENTOS!$O$5:$O$10004,AGGREGATE(15,6,(ROW(MOVIMIENTOS!$P$5:$P$10004)-ROW(MOVIMIENTOS!$P$5)+1)/(((MOVIMIENTOS!$C$5:$C$10004="Ingreso")+(MOVIMIENTOS!$C$5:$C$10004="Venta"))*(MOVIMIENTOS!$P$5:$P$10004="Pendiente")),ROWS($A$5:A35))),"")</f>
        <v/>
      </c>
      <c r="F35">
        <f>IF(A35="","",MAX(0,TODAY()-B35))</f>
        <v/>
      </c>
      <c r="G35">
        <f>IFERROR(INDEX(MOVIMIENTOS!$P$5:$P$10004,AGGREGATE(15,6,(ROW(MOVIMIENTOS!$P$5:$P$10004)-ROW(MOVIMIENTOS!$P$5)+1)/(((MOVIMIENTOS!$C$5:$C$10004="Ingreso")+(MOVIMIENTOS!$C$5:$C$10004="Venta"))*(MOVIMIENTOS!$P$5:$P$10004="Pendiente")),ROWS($A$5:A35))),"")</f>
        <v/>
      </c>
    </row>
    <row r="36">
      <c r="A36">
        <f>IFERROR(INDEX(MOVIMIENTOS!$A$5:$A$10004,AGGREGATE(15,6,(ROW(MOVIMIENTOS!$P$5:$P$10004)-ROW(MOVIMIENTOS!$P$5)+1)/(((MOVIMIENTOS!$C$5:$C$10004="Ingreso")+(MOVIMIENTOS!$C$5:$C$10004="Venta"))*(MOVIMIENTOS!$P$5:$P$10004="Pendiente")),ROWS($A$5:A36))),"")</f>
        <v/>
      </c>
      <c r="B36">
        <f>IFERROR(INDEX(MOVIMIENTOS!$B$5:$B$10004,AGGREGATE(15,6,(ROW(MOVIMIENTOS!$P$5:$P$10004)-ROW(MOVIMIENTOS!$P$5)+1)/(((MOVIMIENTOS!$C$5:$C$10004="Ingreso")+(MOVIMIENTOS!$C$5:$C$10004="Venta"))*(MOVIMIENTOS!$P$5:$P$10004="Pendiente")),ROWS($A$5:A36))),"")</f>
        <v/>
      </c>
      <c r="C36">
        <f>IFERROR(INDEX(MOVIMIENTOS!$E$5:$E$10004,AGGREGATE(15,6,(ROW(MOVIMIENTOS!$P$5:$P$10004)-ROW(MOVIMIENTOS!$P$5)+1)/(((MOVIMIENTOS!$C$5:$C$10004="Ingreso")+(MOVIMIENTOS!$C$5:$C$10004="Venta"))*(MOVIMIENTOS!$P$5:$P$10004="Pendiente")),ROWS($A$5:A36))),"")</f>
        <v/>
      </c>
      <c r="D36">
        <f>IFERROR(INDEX(MOVIMIENTOS!$D$5:$D$10004,AGGREGATE(15,6,(ROW(MOVIMIENTOS!$P$5:$P$10004)-ROW(MOVIMIENTOS!$P$5)+1)/(((MOVIMIENTOS!$C$5:$C$10004="Ingreso")+(MOVIMIENTOS!$C$5:$C$10004="Venta"))*(MOVIMIENTOS!$P$5:$P$10004="Pendiente")),ROWS($A$5:A36))),"")</f>
        <v/>
      </c>
      <c r="E36">
        <f>IFERROR(INDEX(MOVIMIENTOS!$O$5:$O$10004,AGGREGATE(15,6,(ROW(MOVIMIENTOS!$P$5:$P$10004)-ROW(MOVIMIENTOS!$P$5)+1)/(((MOVIMIENTOS!$C$5:$C$10004="Ingreso")+(MOVIMIENTOS!$C$5:$C$10004="Venta"))*(MOVIMIENTOS!$P$5:$P$10004="Pendiente")),ROWS($A$5:A36))),"")</f>
        <v/>
      </c>
      <c r="F36">
        <f>IF(A36="","",MAX(0,TODAY()-B36))</f>
        <v/>
      </c>
      <c r="G36">
        <f>IFERROR(INDEX(MOVIMIENTOS!$P$5:$P$10004,AGGREGATE(15,6,(ROW(MOVIMIENTOS!$P$5:$P$10004)-ROW(MOVIMIENTOS!$P$5)+1)/(((MOVIMIENTOS!$C$5:$C$10004="Ingreso")+(MOVIMIENTOS!$C$5:$C$10004="Venta"))*(MOVIMIENTOS!$P$5:$P$10004="Pendiente")),ROWS($A$5:A36))),"")</f>
        <v/>
      </c>
    </row>
    <row r="37">
      <c r="A37">
        <f>IFERROR(INDEX(MOVIMIENTOS!$A$5:$A$10004,AGGREGATE(15,6,(ROW(MOVIMIENTOS!$P$5:$P$10004)-ROW(MOVIMIENTOS!$P$5)+1)/(((MOVIMIENTOS!$C$5:$C$10004="Ingreso")+(MOVIMIENTOS!$C$5:$C$10004="Venta"))*(MOVIMIENTOS!$P$5:$P$10004="Pendiente")),ROWS($A$5:A37))),"")</f>
        <v/>
      </c>
      <c r="B37">
        <f>IFERROR(INDEX(MOVIMIENTOS!$B$5:$B$10004,AGGREGATE(15,6,(ROW(MOVIMIENTOS!$P$5:$P$10004)-ROW(MOVIMIENTOS!$P$5)+1)/(((MOVIMIENTOS!$C$5:$C$10004="Ingreso")+(MOVIMIENTOS!$C$5:$C$10004="Venta"))*(MOVIMIENTOS!$P$5:$P$10004="Pendiente")),ROWS($A$5:A37))),"")</f>
        <v/>
      </c>
      <c r="C37">
        <f>IFERROR(INDEX(MOVIMIENTOS!$E$5:$E$10004,AGGREGATE(15,6,(ROW(MOVIMIENTOS!$P$5:$P$10004)-ROW(MOVIMIENTOS!$P$5)+1)/(((MOVIMIENTOS!$C$5:$C$10004="Ingreso")+(MOVIMIENTOS!$C$5:$C$10004="Venta"))*(MOVIMIENTOS!$P$5:$P$10004="Pendiente")),ROWS($A$5:A37))),"")</f>
        <v/>
      </c>
      <c r="D37">
        <f>IFERROR(INDEX(MOVIMIENTOS!$D$5:$D$10004,AGGREGATE(15,6,(ROW(MOVIMIENTOS!$P$5:$P$10004)-ROW(MOVIMIENTOS!$P$5)+1)/(((MOVIMIENTOS!$C$5:$C$10004="Ingreso")+(MOVIMIENTOS!$C$5:$C$10004="Venta"))*(MOVIMIENTOS!$P$5:$P$10004="Pendiente")),ROWS($A$5:A37))),"")</f>
        <v/>
      </c>
      <c r="E37">
        <f>IFERROR(INDEX(MOVIMIENTOS!$O$5:$O$10004,AGGREGATE(15,6,(ROW(MOVIMIENTOS!$P$5:$P$10004)-ROW(MOVIMIENTOS!$P$5)+1)/(((MOVIMIENTOS!$C$5:$C$10004="Ingreso")+(MOVIMIENTOS!$C$5:$C$10004="Venta"))*(MOVIMIENTOS!$P$5:$P$10004="Pendiente")),ROWS($A$5:A37))),"")</f>
        <v/>
      </c>
      <c r="F37">
        <f>IF(A37="","",MAX(0,TODAY()-B37))</f>
        <v/>
      </c>
      <c r="G37">
        <f>IFERROR(INDEX(MOVIMIENTOS!$P$5:$P$10004,AGGREGATE(15,6,(ROW(MOVIMIENTOS!$P$5:$P$10004)-ROW(MOVIMIENTOS!$P$5)+1)/(((MOVIMIENTOS!$C$5:$C$10004="Ingreso")+(MOVIMIENTOS!$C$5:$C$10004="Venta"))*(MOVIMIENTOS!$P$5:$P$10004="Pendiente")),ROWS($A$5:A37))),"")</f>
        <v/>
      </c>
    </row>
    <row r="38">
      <c r="A38">
        <f>IFERROR(INDEX(MOVIMIENTOS!$A$5:$A$10004,AGGREGATE(15,6,(ROW(MOVIMIENTOS!$P$5:$P$10004)-ROW(MOVIMIENTOS!$P$5)+1)/(((MOVIMIENTOS!$C$5:$C$10004="Ingreso")+(MOVIMIENTOS!$C$5:$C$10004="Venta"))*(MOVIMIENTOS!$P$5:$P$10004="Pendiente")),ROWS($A$5:A38))),"")</f>
        <v/>
      </c>
      <c r="B38">
        <f>IFERROR(INDEX(MOVIMIENTOS!$B$5:$B$10004,AGGREGATE(15,6,(ROW(MOVIMIENTOS!$P$5:$P$10004)-ROW(MOVIMIENTOS!$P$5)+1)/(((MOVIMIENTOS!$C$5:$C$10004="Ingreso")+(MOVIMIENTOS!$C$5:$C$10004="Venta"))*(MOVIMIENTOS!$P$5:$P$10004="Pendiente")),ROWS($A$5:A38))),"")</f>
        <v/>
      </c>
      <c r="C38">
        <f>IFERROR(INDEX(MOVIMIENTOS!$E$5:$E$10004,AGGREGATE(15,6,(ROW(MOVIMIENTOS!$P$5:$P$10004)-ROW(MOVIMIENTOS!$P$5)+1)/(((MOVIMIENTOS!$C$5:$C$10004="Ingreso")+(MOVIMIENTOS!$C$5:$C$10004="Venta"))*(MOVIMIENTOS!$P$5:$P$10004="Pendiente")),ROWS($A$5:A38))),"")</f>
        <v/>
      </c>
      <c r="D38">
        <f>IFERROR(INDEX(MOVIMIENTOS!$D$5:$D$10004,AGGREGATE(15,6,(ROW(MOVIMIENTOS!$P$5:$P$10004)-ROW(MOVIMIENTOS!$P$5)+1)/(((MOVIMIENTOS!$C$5:$C$10004="Ingreso")+(MOVIMIENTOS!$C$5:$C$10004="Venta"))*(MOVIMIENTOS!$P$5:$P$10004="Pendiente")),ROWS($A$5:A38))),"")</f>
        <v/>
      </c>
      <c r="E38">
        <f>IFERROR(INDEX(MOVIMIENTOS!$O$5:$O$10004,AGGREGATE(15,6,(ROW(MOVIMIENTOS!$P$5:$P$10004)-ROW(MOVIMIENTOS!$P$5)+1)/(((MOVIMIENTOS!$C$5:$C$10004="Ingreso")+(MOVIMIENTOS!$C$5:$C$10004="Venta"))*(MOVIMIENTOS!$P$5:$P$10004="Pendiente")),ROWS($A$5:A38))),"")</f>
        <v/>
      </c>
      <c r="F38">
        <f>IF(A38="","",MAX(0,TODAY()-B38))</f>
        <v/>
      </c>
      <c r="G38">
        <f>IFERROR(INDEX(MOVIMIENTOS!$P$5:$P$10004,AGGREGATE(15,6,(ROW(MOVIMIENTOS!$P$5:$P$10004)-ROW(MOVIMIENTOS!$P$5)+1)/(((MOVIMIENTOS!$C$5:$C$10004="Ingreso")+(MOVIMIENTOS!$C$5:$C$10004="Venta"))*(MOVIMIENTOS!$P$5:$P$10004="Pendiente")),ROWS($A$5:A38))),"")</f>
        <v/>
      </c>
    </row>
    <row r="39">
      <c r="A39">
        <f>IFERROR(INDEX(MOVIMIENTOS!$A$5:$A$10004,AGGREGATE(15,6,(ROW(MOVIMIENTOS!$P$5:$P$10004)-ROW(MOVIMIENTOS!$P$5)+1)/(((MOVIMIENTOS!$C$5:$C$10004="Ingreso")+(MOVIMIENTOS!$C$5:$C$10004="Venta"))*(MOVIMIENTOS!$P$5:$P$10004="Pendiente")),ROWS($A$5:A39))),"")</f>
        <v/>
      </c>
      <c r="B39">
        <f>IFERROR(INDEX(MOVIMIENTOS!$B$5:$B$10004,AGGREGATE(15,6,(ROW(MOVIMIENTOS!$P$5:$P$10004)-ROW(MOVIMIENTOS!$P$5)+1)/(((MOVIMIENTOS!$C$5:$C$10004="Ingreso")+(MOVIMIENTOS!$C$5:$C$10004="Venta"))*(MOVIMIENTOS!$P$5:$P$10004="Pendiente")),ROWS($A$5:A39))),"")</f>
        <v/>
      </c>
      <c r="C39">
        <f>IFERROR(INDEX(MOVIMIENTOS!$E$5:$E$10004,AGGREGATE(15,6,(ROW(MOVIMIENTOS!$P$5:$P$10004)-ROW(MOVIMIENTOS!$P$5)+1)/(((MOVIMIENTOS!$C$5:$C$10004="Ingreso")+(MOVIMIENTOS!$C$5:$C$10004="Venta"))*(MOVIMIENTOS!$P$5:$P$10004="Pendiente")),ROWS($A$5:A39))),"")</f>
        <v/>
      </c>
      <c r="D39">
        <f>IFERROR(INDEX(MOVIMIENTOS!$D$5:$D$10004,AGGREGATE(15,6,(ROW(MOVIMIENTOS!$P$5:$P$10004)-ROW(MOVIMIENTOS!$P$5)+1)/(((MOVIMIENTOS!$C$5:$C$10004="Ingreso")+(MOVIMIENTOS!$C$5:$C$10004="Venta"))*(MOVIMIENTOS!$P$5:$P$10004="Pendiente")),ROWS($A$5:A39))),"")</f>
        <v/>
      </c>
      <c r="E39">
        <f>IFERROR(INDEX(MOVIMIENTOS!$O$5:$O$10004,AGGREGATE(15,6,(ROW(MOVIMIENTOS!$P$5:$P$10004)-ROW(MOVIMIENTOS!$P$5)+1)/(((MOVIMIENTOS!$C$5:$C$10004="Ingreso")+(MOVIMIENTOS!$C$5:$C$10004="Venta"))*(MOVIMIENTOS!$P$5:$P$10004="Pendiente")),ROWS($A$5:A39))),"")</f>
        <v/>
      </c>
      <c r="F39">
        <f>IF(A39="","",MAX(0,TODAY()-B39))</f>
        <v/>
      </c>
      <c r="G39">
        <f>IFERROR(INDEX(MOVIMIENTOS!$P$5:$P$10004,AGGREGATE(15,6,(ROW(MOVIMIENTOS!$P$5:$P$10004)-ROW(MOVIMIENTOS!$P$5)+1)/(((MOVIMIENTOS!$C$5:$C$10004="Ingreso")+(MOVIMIENTOS!$C$5:$C$10004="Venta"))*(MOVIMIENTOS!$P$5:$P$10004="Pendiente")),ROWS($A$5:A39))),"")</f>
        <v/>
      </c>
    </row>
    <row r="40">
      <c r="A40">
        <f>IFERROR(INDEX(MOVIMIENTOS!$A$5:$A$10004,AGGREGATE(15,6,(ROW(MOVIMIENTOS!$P$5:$P$10004)-ROW(MOVIMIENTOS!$P$5)+1)/(((MOVIMIENTOS!$C$5:$C$10004="Ingreso")+(MOVIMIENTOS!$C$5:$C$10004="Venta"))*(MOVIMIENTOS!$P$5:$P$10004="Pendiente")),ROWS($A$5:A40))),"")</f>
        <v/>
      </c>
      <c r="B40">
        <f>IFERROR(INDEX(MOVIMIENTOS!$B$5:$B$10004,AGGREGATE(15,6,(ROW(MOVIMIENTOS!$P$5:$P$10004)-ROW(MOVIMIENTOS!$P$5)+1)/(((MOVIMIENTOS!$C$5:$C$10004="Ingreso")+(MOVIMIENTOS!$C$5:$C$10004="Venta"))*(MOVIMIENTOS!$P$5:$P$10004="Pendiente")),ROWS($A$5:A40))),"")</f>
        <v/>
      </c>
      <c r="C40">
        <f>IFERROR(INDEX(MOVIMIENTOS!$E$5:$E$10004,AGGREGATE(15,6,(ROW(MOVIMIENTOS!$P$5:$P$10004)-ROW(MOVIMIENTOS!$P$5)+1)/(((MOVIMIENTOS!$C$5:$C$10004="Ingreso")+(MOVIMIENTOS!$C$5:$C$10004="Venta"))*(MOVIMIENTOS!$P$5:$P$10004="Pendiente")),ROWS($A$5:A40))),"")</f>
        <v/>
      </c>
      <c r="D40">
        <f>IFERROR(INDEX(MOVIMIENTOS!$D$5:$D$10004,AGGREGATE(15,6,(ROW(MOVIMIENTOS!$P$5:$P$10004)-ROW(MOVIMIENTOS!$P$5)+1)/(((MOVIMIENTOS!$C$5:$C$10004="Ingreso")+(MOVIMIENTOS!$C$5:$C$10004="Venta"))*(MOVIMIENTOS!$P$5:$P$10004="Pendiente")),ROWS($A$5:A40))),"")</f>
        <v/>
      </c>
      <c r="E40">
        <f>IFERROR(INDEX(MOVIMIENTOS!$O$5:$O$10004,AGGREGATE(15,6,(ROW(MOVIMIENTOS!$P$5:$P$10004)-ROW(MOVIMIENTOS!$P$5)+1)/(((MOVIMIENTOS!$C$5:$C$10004="Ingreso")+(MOVIMIENTOS!$C$5:$C$10004="Venta"))*(MOVIMIENTOS!$P$5:$P$10004="Pendiente")),ROWS($A$5:A40))),"")</f>
        <v/>
      </c>
      <c r="F40">
        <f>IF(A40="","",MAX(0,TODAY()-B40))</f>
        <v/>
      </c>
      <c r="G40">
        <f>IFERROR(INDEX(MOVIMIENTOS!$P$5:$P$10004,AGGREGATE(15,6,(ROW(MOVIMIENTOS!$P$5:$P$10004)-ROW(MOVIMIENTOS!$P$5)+1)/(((MOVIMIENTOS!$C$5:$C$10004="Ingreso")+(MOVIMIENTOS!$C$5:$C$10004="Venta"))*(MOVIMIENTOS!$P$5:$P$10004="Pendiente")),ROWS($A$5:A40))),"")</f>
        <v/>
      </c>
    </row>
    <row r="41">
      <c r="A41">
        <f>IFERROR(INDEX(MOVIMIENTOS!$A$5:$A$10004,AGGREGATE(15,6,(ROW(MOVIMIENTOS!$P$5:$P$10004)-ROW(MOVIMIENTOS!$P$5)+1)/(((MOVIMIENTOS!$C$5:$C$10004="Ingreso")+(MOVIMIENTOS!$C$5:$C$10004="Venta"))*(MOVIMIENTOS!$P$5:$P$10004="Pendiente")),ROWS($A$5:A41))),"")</f>
        <v/>
      </c>
      <c r="B41">
        <f>IFERROR(INDEX(MOVIMIENTOS!$B$5:$B$10004,AGGREGATE(15,6,(ROW(MOVIMIENTOS!$P$5:$P$10004)-ROW(MOVIMIENTOS!$P$5)+1)/(((MOVIMIENTOS!$C$5:$C$10004="Ingreso")+(MOVIMIENTOS!$C$5:$C$10004="Venta"))*(MOVIMIENTOS!$P$5:$P$10004="Pendiente")),ROWS($A$5:A41))),"")</f>
        <v/>
      </c>
      <c r="C41">
        <f>IFERROR(INDEX(MOVIMIENTOS!$E$5:$E$10004,AGGREGATE(15,6,(ROW(MOVIMIENTOS!$P$5:$P$10004)-ROW(MOVIMIENTOS!$P$5)+1)/(((MOVIMIENTOS!$C$5:$C$10004="Ingreso")+(MOVIMIENTOS!$C$5:$C$10004="Venta"))*(MOVIMIENTOS!$P$5:$P$10004="Pendiente")),ROWS($A$5:A41))),"")</f>
        <v/>
      </c>
      <c r="D41">
        <f>IFERROR(INDEX(MOVIMIENTOS!$D$5:$D$10004,AGGREGATE(15,6,(ROW(MOVIMIENTOS!$P$5:$P$10004)-ROW(MOVIMIENTOS!$P$5)+1)/(((MOVIMIENTOS!$C$5:$C$10004="Ingreso")+(MOVIMIENTOS!$C$5:$C$10004="Venta"))*(MOVIMIENTOS!$P$5:$P$10004="Pendiente")),ROWS($A$5:A41))),"")</f>
        <v/>
      </c>
      <c r="E41">
        <f>IFERROR(INDEX(MOVIMIENTOS!$O$5:$O$10004,AGGREGATE(15,6,(ROW(MOVIMIENTOS!$P$5:$P$10004)-ROW(MOVIMIENTOS!$P$5)+1)/(((MOVIMIENTOS!$C$5:$C$10004="Ingreso")+(MOVIMIENTOS!$C$5:$C$10004="Venta"))*(MOVIMIENTOS!$P$5:$P$10004="Pendiente")),ROWS($A$5:A41))),"")</f>
        <v/>
      </c>
      <c r="F41">
        <f>IF(A41="","",MAX(0,TODAY()-B41))</f>
        <v/>
      </c>
      <c r="G41">
        <f>IFERROR(INDEX(MOVIMIENTOS!$P$5:$P$10004,AGGREGATE(15,6,(ROW(MOVIMIENTOS!$P$5:$P$10004)-ROW(MOVIMIENTOS!$P$5)+1)/(((MOVIMIENTOS!$C$5:$C$10004="Ingreso")+(MOVIMIENTOS!$C$5:$C$10004="Venta"))*(MOVIMIENTOS!$P$5:$P$10004="Pendiente")),ROWS($A$5:A41))),"")</f>
        <v/>
      </c>
    </row>
    <row r="42">
      <c r="A42">
        <f>IFERROR(INDEX(MOVIMIENTOS!$A$5:$A$10004,AGGREGATE(15,6,(ROW(MOVIMIENTOS!$P$5:$P$10004)-ROW(MOVIMIENTOS!$P$5)+1)/(((MOVIMIENTOS!$C$5:$C$10004="Ingreso")+(MOVIMIENTOS!$C$5:$C$10004="Venta"))*(MOVIMIENTOS!$P$5:$P$10004="Pendiente")),ROWS($A$5:A42))),"")</f>
        <v/>
      </c>
      <c r="B42">
        <f>IFERROR(INDEX(MOVIMIENTOS!$B$5:$B$10004,AGGREGATE(15,6,(ROW(MOVIMIENTOS!$P$5:$P$10004)-ROW(MOVIMIENTOS!$P$5)+1)/(((MOVIMIENTOS!$C$5:$C$10004="Ingreso")+(MOVIMIENTOS!$C$5:$C$10004="Venta"))*(MOVIMIENTOS!$P$5:$P$10004="Pendiente")),ROWS($A$5:A42))),"")</f>
        <v/>
      </c>
      <c r="C42">
        <f>IFERROR(INDEX(MOVIMIENTOS!$E$5:$E$10004,AGGREGATE(15,6,(ROW(MOVIMIENTOS!$P$5:$P$10004)-ROW(MOVIMIENTOS!$P$5)+1)/(((MOVIMIENTOS!$C$5:$C$10004="Ingreso")+(MOVIMIENTOS!$C$5:$C$10004="Venta"))*(MOVIMIENTOS!$P$5:$P$10004="Pendiente")),ROWS($A$5:A42))),"")</f>
        <v/>
      </c>
      <c r="D42">
        <f>IFERROR(INDEX(MOVIMIENTOS!$D$5:$D$10004,AGGREGATE(15,6,(ROW(MOVIMIENTOS!$P$5:$P$10004)-ROW(MOVIMIENTOS!$P$5)+1)/(((MOVIMIENTOS!$C$5:$C$10004="Ingreso")+(MOVIMIENTOS!$C$5:$C$10004="Venta"))*(MOVIMIENTOS!$P$5:$P$10004="Pendiente")),ROWS($A$5:A42))),"")</f>
        <v/>
      </c>
      <c r="E42">
        <f>IFERROR(INDEX(MOVIMIENTOS!$O$5:$O$10004,AGGREGATE(15,6,(ROW(MOVIMIENTOS!$P$5:$P$10004)-ROW(MOVIMIENTOS!$P$5)+1)/(((MOVIMIENTOS!$C$5:$C$10004="Ingreso")+(MOVIMIENTOS!$C$5:$C$10004="Venta"))*(MOVIMIENTOS!$P$5:$P$10004="Pendiente")),ROWS($A$5:A42))),"")</f>
        <v/>
      </c>
      <c r="F42">
        <f>IF(A42="","",MAX(0,TODAY()-B42))</f>
        <v/>
      </c>
      <c r="G42">
        <f>IFERROR(INDEX(MOVIMIENTOS!$P$5:$P$10004,AGGREGATE(15,6,(ROW(MOVIMIENTOS!$P$5:$P$10004)-ROW(MOVIMIENTOS!$P$5)+1)/(((MOVIMIENTOS!$C$5:$C$10004="Ingreso")+(MOVIMIENTOS!$C$5:$C$10004="Venta"))*(MOVIMIENTOS!$P$5:$P$10004="Pendiente")),ROWS($A$5:A42))),"")</f>
        <v/>
      </c>
    </row>
    <row r="43">
      <c r="A43">
        <f>IFERROR(INDEX(MOVIMIENTOS!$A$5:$A$10004,AGGREGATE(15,6,(ROW(MOVIMIENTOS!$P$5:$P$10004)-ROW(MOVIMIENTOS!$P$5)+1)/(((MOVIMIENTOS!$C$5:$C$10004="Ingreso")+(MOVIMIENTOS!$C$5:$C$10004="Venta"))*(MOVIMIENTOS!$P$5:$P$10004="Pendiente")),ROWS($A$5:A43))),"")</f>
        <v/>
      </c>
      <c r="B43">
        <f>IFERROR(INDEX(MOVIMIENTOS!$B$5:$B$10004,AGGREGATE(15,6,(ROW(MOVIMIENTOS!$P$5:$P$10004)-ROW(MOVIMIENTOS!$P$5)+1)/(((MOVIMIENTOS!$C$5:$C$10004="Ingreso")+(MOVIMIENTOS!$C$5:$C$10004="Venta"))*(MOVIMIENTOS!$P$5:$P$10004="Pendiente")),ROWS($A$5:A43))),"")</f>
        <v/>
      </c>
      <c r="C43">
        <f>IFERROR(INDEX(MOVIMIENTOS!$E$5:$E$10004,AGGREGATE(15,6,(ROW(MOVIMIENTOS!$P$5:$P$10004)-ROW(MOVIMIENTOS!$P$5)+1)/(((MOVIMIENTOS!$C$5:$C$10004="Ingreso")+(MOVIMIENTOS!$C$5:$C$10004="Venta"))*(MOVIMIENTOS!$P$5:$P$10004="Pendiente")),ROWS($A$5:A43))),"")</f>
        <v/>
      </c>
      <c r="D43">
        <f>IFERROR(INDEX(MOVIMIENTOS!$D$5:$D$10004,AGGREGATE(15,6,(ROW(MOVIMIENTOS!$P$5:$P$10004)-ROW(MOVIMIENTOS!$P$5)+1)/(((MOVIMIENTOS!$C$5:$C$10004="Ingreso")+(MOVIMIENTOS!$C$5:$C$10004="Venta"))*(MOVIMIENTOS!$P$5:$P$10004="Pendiente")),ROWS($A$5:A43))),"")</f>
        <v/>
      </c>
      <c r="E43">
        <f>IFERROR(INDEX(MOVIMIENTOS!$O$5:$O$10004,AGGREGATE(15,6,(ROW(MOVIMIENTOS!$P$5:$P$10004)-ROW(MOVIMIENTOS!$P$5)+1)/(((MOVIMIENTOS!$C$5:$C$10004="Ingreso")+(MOVIMIENTOS!$C$5:$C$10004="Venta"))*(MOVIMIENTOS!$P$5:$P$10004="Pendiente")),ROWS($A$5:A43))),"")</f>
        <v/>
      </c>
      <c r="F43">
        <f>IF(A43="","",MAX(0,TODAY()-B43))</f>
        <v/>
      </c>
      <c r="G43">
        <f>IFERROR(INDEX(MOVIMIENTOS!$P$5:$P$10004,AGGREGATE(15,6,(ROW(MOVIMIENTOS!$P$5:$P$10004)-ROW(MOVIMIENTOS!$P$5)+1)/(((MOVIMIENTOS!$C$5:$C$10004="Ingreso")+(MOVIMIENTOS!$C$5:$C$10004="Venta"))*(MOVIMIENTOS!$P$5:$P$10004="Pendiente")),ROWS($A$5:A43))),"")</f>
        <v/>
      </c>
    </row>
    <row r="44">
      <c r="A44">
        <f>IFERROR(INDEX(MOVIMIENTOS!$A$5:$A$10004,AGGREGATE(15,6,(ROW(MOVIMIENTOS!$P$5:$P$10004)-ROW(MOVIMIENTOS!$P$5)+1)/(((MOVIMIENTOS!$C$5:$C$10004="Ingreso")+(MOVIMIENTOS!$C$5:$C$10004="Venta"))*(MOVIMIENTOS!$P$5:$P$10004="Pendiente")),ROWS($A$5:A44))),"")</f>
        <v/>
      </c>
      <c r="B44">
        <f>IFERROR(INDEX(MOVIMIENTOS!$B$5:$B$10004,AGGREGATE(15,6,(ROW(MOVIMIENTOS!$P$5:$P$10004)-ROW(MOVIMIENTOS!$P$5)+1)/(((MOVIMIENTOS!$C$5:$C$10004="Ingreso")+(MOVIMIENTOS!$C$5:$C$10004="Venta"))*(MOVIMIENTOS!$P$5:$P$10004="Pendiente")),ROWS($A$5:A44))),"")</f>
        <v/>
      </c>
      <c r="C44">
        <f>IFERROR(INDEX(MOVIMIENTOS!$E$5:$E$10004,AGGREGATE(15,6,(ROW(MOVIMIENTOS!$P$5:$P$10004)-ROW(MOVIMIENTOS!$P$5)+1)/(((MOVIMIENTOS!$C$5:$C$10004="Ingreso")+(MOVIMIENTOS!$C$5:$C$10004="Venta"))*(MOVIMIENTOS!$P$5:$P$10004="Pendiente")),ROWS($A$5:A44))),"")</f>
        <v/>
      </c>
      <c r="D44">
        <f>IFERROR(INDEX(MOVIMIENTOS!$D$5:$D$10004,AGGREGATE(15,6,(ROW(MOVIMIENTOS!$P$5:$P$10004)-ROW(MOVIMIENTOS!$P$5)+1)/(((MOVIMIENTOS!$C$5:$C$10004="Ingreso")+(MOVIMIENTOS!$C$5:$C$10004="Venta"))*(MOVIMIENTOS!$P$5:$P$10004="Pendiente")),ROWS($A$5:A44))),"")</f>
        <v/>
      </c>
      <c r="E44">
        <f>IFERROR(INDEX(MOVIMIENTOS!$O$5:$O$10004,AGGREGATE(15,6,(ROW(MOVIMIENTOS!$P$5:$P$10004)-ROW(MOVIMIENTOS!$P$5)+1)/(((MOVIMIENTOS!$C$5:$C$10004="Ingreso")+(MOVIMIENTOS!$C$5:$C$10004="Venta"))*(MOVIMIENTOS!$P$5:$P$10004="Pendiente")),ROWS($A$5:A44))),"")</f>
        <v/>
      </c>
      <c r="F44">
        <f>IF(A44="","",MAX(0,TODAY()-B44))</f>
        <v/>
      </c>
      <c r="G44">
        <f>IFERROR(INDEX(MOVIMIENTOS!$P$5:$P$10004,AGGREGATE(15,6,(ROW(MOVIMIENTOS!$P$5:$P$10004)-ROW(MOVIMIENTOS!$P$5)+1)/(((MOVIMIENTOS!$C$5:$C$10004="Ingreso")+(MOVIMIENTOS!$C$5:$C$10004="Venta"))*(MOVIMIENTOS!$P$5:$P$10004="Pendiente")),ROWS($A$5:A44))),"")</f>
        <v/>
      </c>
    </row>
    <row r="45">
      <c r="A45">
        <f>IFERROR(INDEX(MOVIMIENTOS!$A$5:$A$10004,AGGREGATE(15,6,(ROW(MOVIMIENTOS!$P$5:$P$10004)-ROW(MOVIMIENTOS!$P$5)+1)/(((MOVIMIENTOS!$C$5:$C$10004="Ingreso")+(MOVIMIENTOS!$C$5:$C$10004="Venta"))*(MOVIMIENTOS!$P$5:$P$10004="Pendiente")),ROWS($A$5:A45))),"")</f>
        <v/>
      </c>
      <c r="B45">
        <f>IFERROR(INDEX(MOVIMIENTOS!$B$5:$B$10004,AGGREGATE(15,6,(ROW(MOVIMIENTOS!$P$5:$P$10004)-ROW(MOVIMIENTOS!$P$5)+1)/(((MOVIMIENTOS!$C$5:$C$10004="Ingreso")+(MOVIMIENTOS!$C$5:$C$10004="Venta"))*(MOVIMIENTOS!$P$5:$P$10004="Pendiente")),ROWS($A$5:A45))),"")</f>
        <v/>
      </c>
      <c r="C45">
        <f>IFERROR(INDEX(MOVIMIENTOS!$E$5:$E$10004,AGGREGATE(15,6,(ROW(MOVIMIENTOS!$P$5:$P$10004)-ROW(MOVIMIENTOS!$P$5)+1)/(((MOVIMIENTOS!$C$5:$C$10004="Ingreso")+(MOVIMIENTOS!$C$5:$C$10004="Venta"))*(MOVIMIENTOS!$P$5:$P$10004="Pendiente")),ROWS($A$5:A45))),"")</f>
        <v/>
      </c>
      <c r="D45">
        <f>IFERROR(INDEX(MOVIMIENTOS!$D$5:$D$10004,AGGREGATE(15,6,(ROW(MOVIMIENTOS!$P$5:$P$10004)-ROW(MOVIMIENTOS!$P$5)+1)/(((MOVIMIENTOS!$C$5:$C$10004="Ingreso")+(MOVIMIENTOS!$C$5:$C$10004="Venta"))*(MOVIMIENTOS!$P$5:$P$10004="Pendiente")),ROWS($A$5:A45))),"")</f>
        <v/>
      </c>
      <c r="E45">
        <f>IFERROR(INDEX(MOVIMIENTOS!$O$5:$O$10004,AGGREGATE(15,6,(ROW(MOVIMIENTOS!$P$5:$P$10004)-ROW(MOVIMIENTOS!$P$5)+1)/(((MOVIMIENTOS!$C$5:$C$10004="Ingreso")+(MOVIMIENTOS!$C$5:$C$10004="Venta"))*(MOVIMIENTOS!$P$5:$P$10004="Pendiente")),ROWS($A$5:A45))),"")</f>
        <v/>
      </c>
      <c r="F45">
        <f>IF(A45="","",MAX(0,TODAY()-B45))</f>
        <v/>
      </c>
      <c r="G45">
        <f>IFERROR(INDEX(MOVIMIENTOS!$P$5:$P$10004,AGGREGATE(15,6,(ROW(MOVIMIENTOS!$P$5:$P$10004)-ROW(MOVIMIENTOS!$P$5)+1)/(((MOVIMIENTOS!$C$5:$C$10004="Ingreso")+(MOVIMIENTOS!$C$5:$C$10004="Venta"))*(MOVIMIENTOS!$P$5:$P$10004="Pendiente")),ROWS($A$5:A45))),"")</f>
        <v/>
      </c>
    </row>
    <row r="46">
      <c r="A46">
        <f>IFERROR(INDEX(MOVIMIENTOS!$A$5:$A$10004,AGGREGATE(15,6,(ROW(MOVIMIENTOS!$P$5:$P$10004)-ROW(MOVIMIENTOS!$P$5)+1)/(((MOVIMIENTOS!$C$5:$C$10004="Ingreso")+(MOVIMIENTOS!$C$5:$C$10004="Venta"))*(MOVIMIENTOS!$P$5:$P$10004="Pendiente")),ROWS($A$5:A46))),"")</f>
        <v/>
      </c>
      <c r="B46">
        <f>IFERROR(INDEX(MOVIMIENTOS!$B$5:$B$10004,AGGREGATE(15,6,(ROW(MOVIMIENTOS!$P$5:$P$10004)-ROW(MOVIMIENTOS!$P$5)+1)/(((MOVIMIENTOS!$C$5:$C$10004="Ingreso")+(MOVIMIENTOS!$C$5:$C$10004="Venta"))*(MOVIMIENTOS!$P$5:$P$10004="Pendiente")),ROWS($A$5:A46))),"")</f>
        <v/>
      </c>
      <c r="C46">
        <f>IFERROR(INDEX(MOVIMIENTOS!$E$5:$E$10004,AGGREGATE(15,6,(ROW(MOVIMIENTOS!$P$5:$P$10004)-ROW(MOVIMIENTOS!$P$5)+1)/(((MOVIMIENTOS!$C$5:$C$10004="Ingreso")+(MOVIMIENTOS!$C$5:$C$10004="Venta"))*(MOVIMIENTOS!$P$5:$P$10004="Pendiente")),ROWS($A$5:A46))),"")</f>
        <v/>
      </c>
      <c r="D46">
        <f>IFERROR(INDEX(MOVIMIENTOS!$D$5:$D$10004,AGGREGATE(15,6,(ROW(MOVIMIENTOS!$P$5:$P$10004)-ROW(MOVIMIENTOS!$P$5)+1)/(((MOVIMIENTOS!$C$5:$C$10004="Ingreso")+(MOVIMIENTOS!$C$5:$C$10004="Venta"))*(MOVIMIENTOS!$P$5:$P$10004="Pendiente")),ROWS($A$5:A46))),"")</f>
        <v/>
      </c>
      <c r="E46">
        <f>IFERROR(INDEX(MOVIMIENTOS!$O$5:$O$10004,AGGREGATE(15,6,(ROW(MOVIMIENTOS!$P$5:$P$10004)-ROW(MOVIMIENTOS!$P$5)+1)/(((MOVIMIENTOS!$C$5:$C$10004="Ingreso")+(MOVIMIENTOS!$C$5:$C$10004="Venta"))*(MOVIMIENTOS!$P$5:$P$10004="Pendiente")),ROWS($A$5:A46))),"")</f>
        <v/>
      </c>
      <c r="F46">
        <f>IF(A46="","",MAX(0,TODAY()-B46))</f>
        <v/>
      </c>
      <c r="G46">
        <f>IFERROR(INDEX(MOVIMIENTOS!$P$5:$P$10004,AGGREGATE(15,6,(ROW(MOVIMIENTOS!$P$5:$P$10004)-ROW(MOVIMIENTOS!$P$5)+1)/(((MOVIMIENTOS!$C$5:$C$10004="Ingreso")+(MOVIMIENTOS!$C$5:$C$10004="Venta"))*(MOVIMIENTOS!$P$5:$P$10004="Pendiente")),ROWS($A$5:A46))),"")</f>
        <v/>
      </c>
    </row>
    <row r="47">
      <c r="A47">
        <f>IFERROR(INDEX(MOVIMIENTOS!$A$5:$A$10004,AGGREGATE(15,6,(ROW(MOVIMIENTOS!$P$5:$P$10004)-ROW(MOVIMIENTOS!$P$5)+1)/(((MOVIMIENTOS!$C$5:$C$10004="Ingreso")+(MOVIMIENTOS!$C$5:$C$10004="Venta"))*(MOVIMIENTOS!$P$5:$P$10004="Pendiente")),ROWS($A$5:A47))),"")</f>
        <v/>
      </c>
      <c r="B47">
        <f>IFERROR(INDEX(MOVIMIENTOS!$B$5:$B$10004,AGGREGATE(15,6,(ROW(MOVIMIENTOS!$P$5:$P$10004)-ROW(MOVIMIENTOS!$P$5)+1)/(((MOVIMIENTOS!$C$5:$C$10004="Ingreso")+(MOVIMIENTOS!$C$5:$C$10004="Venta"))*(MOVIMIENTOS!$P$5:$P$10004="Pendiente")),ROWS($A$5:A47))),"")</f>
        <v/>
      </c>
      <c r="C47">
        <f>IFERROR(INDEX(MOVIMIENTOS!$E$5:$E$10004,AGGREGATE(15,6,(ROW(MOVIMIENTOS!$P$5:$P$10004)-ROW(MOVIMIENTOS!$P$5)+1)/(((MOVIMIENTOS!$C$5:$C$10004="Ingreso")+(MOVIMIENTOS!$C$5:$C$10004="Venta"))*(MOVIMIENTOS!$P$5:$P$10004="Pendiente")),ROWS($A$5:A47))),"")</f>
        <v/>
      </c>
      <c r="D47">
        <f>IFERROR(INDEX(MOVIMIENTOS!$D$5:$D$10004,AGGREGATE(15,6,(ROW(MOVIMIENTOS!$P$5:$P$10004)-ROW(MOVIMIENTOS!$P$5)+1)/(((MOVIMIENTOS!$C$5:$C$10004="Ingreso")+(MOVIMIENTOS!$C$5:$C$10004="Venta"))*(MOVIMIENTOS!$P$5:$P$10004="Pendiente")),ROWS($A$5:A47))),"")</f>
        <v/>
      </c>
      <c r="E47">
        <f>IFERROR(INDEX(MOVIMIENTOS!$O$5:$O$10004,AGGREGATE(15,6,(ROW(MOVIMIENTOS!$P$5:$P$10004)-ROW(MOVIMIENTOS!$P$5)+1)/(((MOVIMIENTOS!$C$5:$C$10004="Ingreso")+(MOVIMIENTOS!$C$5:$C$10004="Venta"))*(MOVIMIENTOS!$P$5:$P$10004="Pendiente")),ROWS($A$5:A47))),"")</f>
        <v/>
      </c>
      <c r="F47">
        <f>IF(A47="","",MAX(0,TODAY()-B47))</f>
        <v/>
      </c>
      <c r="G47">
        <f>IFERROR(INDEX(MOVIMIENTOS!$P$5:$P$10004,AGGREGATE(15,6,(ROW(MOVIMIENTOS!$P$5:$P$10004)-ROW(MOVIMIENTOS!$P$5)+1)/(((MOVIMIENTOS!$C$5:$C$10004="Ingreso")+(MOVIMIENTOS!$C$5:$C$10004="Venta"))*(MOVIMIENTOS!$P$5:$P$10004="Pendiente")),ROWS($A$5:A47))),"")</f>
        <v/>
      </c>
    </row>
    <row r="48">
      <c r="A48">
        <f>IFERROR(INDEX(MOVIMIENTOS!$A$5:$A$10004,AGGREGATE(15,6,(ROW(MOVIMIENTOS!$P$5:$P$10004)-ROW(MOVIMIENTOS!$P$5)+1)/(((MOVIMIENTOS!$C$5:$C$10004="Ingreso")+(MOVIMIENTOS!$C$5:$C$10004="Venta"))*(MOVIMIENTOS!$P$5:$P$10004="Pendiente")),ROWS($A$5:A48))),"")</f>
        <v/>
      </c>
      <c r="B48">
        <f>IFERROR(INDEX(MOVIMIENTOS!$B$5:$B$10004,AGGREGATE(15,6,(ROW(MOVIMIENTOS!$P$5:$P$10004)-ROW(MOVIMIENTOS!$P$5)+1)/(((MOVIMIENTOS!$C$5:$C$10004="Ingreso")+(MOVIMIENTOS!$C$5:$C$10004="Venta"))*(MOVIMIENTOS!$P$5:$P$10004="Pendiente")),ROWS($A$5:A48))),"")</f>
        <v/>
      </c>
      <c r="C48">
        <f>IFERROR(INDEX(MOVIMIENTOS!$E$5:$E$10004,AGGREGATE(15,6,(ROW(MOVIMIENTOS!$P$5:$P$10004)-ROW(MOVIMIENTOS!$P$5)+1)/(((MOVIMIENTOS!$C$5:$C$10004="Ingreso")+(MOVIMIENTOS!$C$5:$C$10004="Venta"))*(MOVIMIENTOS!$P$5:$P$10004="Pendiente")),ROWS($A$5:A48))),"")</f>
        <v/>
      </c>
      <c r="D48">
        <f>IFERROR(INDEX(MOVIMIENTOS!$D$5:$D$10004,AGGREGATE(15,6,(ROW(MOVIMIENTOS!$P$5:$P$10004)-ROW(MOVIMIENTOS!$P$5)+1)/(((MOVIMIENTOS!$C$5:$C$10004="Ingreso")+(MOVIMIENTOS!$C$5:$C$10004="Venta"))*(MOVIMIENTOS!$P$5:$P$10004="Pendiente")),ROWS($A$5:A48))),"")</f>
        <v/>
      </c>
      <c r="E48">
        <f>IFERROR(INDEX(MOVIMIENTOS!$O$5:$O$10004,AGGREGATE(15,6,(ROW(MOVIMIENTOS!$P$5:$P$10004)-ROW(MOVIMIENTOS!$P$5)+1)/(((MOVIMIENTOS!$C$5:$C$10004="Ingreso")+(MOVIMIENTOS!$C$5:$C$10004="Venta"))*(MOVIMIENTOS!$P$5:$P$10004="Pendiente")),ROWS($A$5:A48))),"")</f>
        <v/>
      </c>
      <c r="F48">
        <f>IF(A48="","",MAX(0,TODAY()-B48))</f>
        <v/>
      </c>
      <c r="G48">
        <f>IFERROR(INDEX(MOVIMIENTOS!$P$5:$P$10004,AGGREGATE(15,6,(ROW(MOVIMIENTOS!$P$5:$P$10004)-ROW(MOVIMIENTOS!$P$5)+1)/(((MOVIMIENTOS!$C$5:$C$10004="Ingreso")+(MOVIMIENTOS!$C$5:$C$10004="Venta"))*(MOVIMIENTOS!$P$5:$P$10004="Pendiente")),ROWS($A$5:A48))),"")</f>
        <v/>
      </c>
    </row>
    <row r="49">
      <c r="A49">
        <f>IFERROR(INDEX(MOVIMIENTOS!$A$5:$A$10004,AGGREGATE(15,6,(ROW(MOVIMIENTOS!$P$5:$P$10004)-ROW(MOVIMIENTOS!$P$5)+1)/(((MOVIMIENTOS!$C$5:$C$10004="Ingreso")+(MOVIMIENTOS!$C$5:$C$10004="Venta"))*(MOVIMIENTOS!$P$5:$P$10004="Pendiente")),ROWS($A$5:A49))),"")</f>
        <v/>
      </c>
      <c r="B49">
        <f>IFERROR(INDEX(MOVIMIENTOS!$B$5:$B$10004,AGGREGATE(15,6,(ROW(MOVIMIENTOS!$P$5:$P$10004)-ROW(MOVIMIENTOS!$P$5)+1)/(((MOVIMIENTOS!$C$5:$C$10004="Ingreso")+(MOVIMIENTOS!$C$5:$C$10004="Venta"))*(MOVIMIENTOS!$P$5:$P$10004="Pendiente")),ROWS($A$5:A49))),"")</f>
        <v/>
      </c>
      <c r="C49">
        <f>IFERROR(INDEX(MOVIMIENTOS!$E$5:$E$10004,AGGREGATE(15,6,(ROW(MOVIMIENTOS!$P$5:$P$10004)-ROW(MOVIMIENTOS!$P$5)+1)/(((MOVIMIENTOS!$C$5:$C$10004="Ingreso")+(MOVIMIENTOS!$C$5:$C$10004="Venta"))*(MOVIMIENTOS!$P$5:$P$10004="Pendiente")),ROWS($A$5:A49))),"")</f>
        <v/>
      </c>
      <c r="D49">
        <f>IFERROR(INDEX(MOVIMIENTOS!$D$5:$D$10004,AGGREGATE(15,6,(ROW(MOVIMIENTOS!$P$5:$P$10004)-ROW(MOVIMIENTOS!$P$5)+1)/(((MOVIMIENTOS!$C$5:$C$10004="Ingreso")+(MOVIMIENTOS!$C$5:$C$10004="Venta"))*(MOVIMIENTOS!$P$5:$P$10004="Pendiente")),ROWS($A$5:A49))),"")</f>
        <v/>
      </c>
      <c r="E49">
        <f>IFERROR(INDEX(MOVIMIENTOS!$O$5:$O$10004,AGGREGATE(15,6,(ROW(MOVIMIENTOS!$P$5:$P$10004)-ROW(MOVIMIENTOS!$P$5)+1)/(((MOVIMIENTOS!$C$5:$C$10004="Ingreso")+(MOVIMIENTOS!$C$5:$C$10004="Venta"))*(MOVIMIENTOS!$P$5:$P$10004="Pendiente")),ROWS($A$5:A49))),"")</f>
        <v/>
      </c>
      <c r="F49">
        <f>IF(A49="","",MAX(0,TODAY()-B49))</f>
        <v/>
      </c>
      <c r="G49">
        <f>IFERROR(INDEX(MOVIMIENTOS!$P$5:$P$10004,AGGREGATE(15,6,(ROW(MOVIMIENTOS!$P$5:$P$10004)-ROW(MOVIMIENTOS!$P$5)+1)/(((MOVIMIENTOS!$C$5:$C$10004="Ingreso")+(MOVIMIENTOS!$C$5:$C$10004="Venta"))*(MOVIMIENTOS!$P$5:$P$10004="Pendiente")),ROWS($A$5:A49))),"")</f>
        <v/>
      </c>
    </row>
    <row r="50">
      <c r="A50">
        <f>IFERROR(INDEX(MOVIMIENTOS!$A$5:$A$10004,AGGREGATE(15,6,(ROW(MOVIMIENTOS!$P$5:$P$10004)-ROW(MOVIMIENTOS!$P$5)+1)/(((MOVIMIENTOS!$C$5:$C$10004="Ingreso")+(MOVIMIENTOS!$C$5:$C$10004="Venta"))*(MOVIMIENTOS!$P$5:$P$10004="Pendiente")),ROWS($A$5:A50))),"")</f>
        <v/>
      </c>
      <c r="B50">
        <f>IFERROR(INDEX(MOVIMIENTOS!$B$5:$B$10004,AGGREGATE(15,6,(ROW(MOVIMIENTOS!$P$5:$P$10004)-ROW(MOVIMIENTOS!$P$5)+1)/(((MOVIMIENTOS!$C$5:$C$10004="Ingreso")+(MOVIMIENTOS!$C$5:$C$10004="Venta"))*(MOVIMIENTOS!$P$5:$P$10004="Pendiente")),ROWS($A$5:A50))),"")</f>
        <v/>
      </c>
      <c r="C50">
        <f>IFERROR(INDEX(MOVIMIENTOS!$E$5:$E$10004,AGGREGATE(15,6,(ROW(MOVIMIENTOS!$P$5:$P$10004)-ROW(MOVIMIENTOS!$P$5)+1)/(((MOVIMIENTOS!$C$5:$C$10004="Ingreso")+(MOVIMIENTOS!$C$5:$C$10004="Venta"))*(MOVIMIENTOS!$P$5:$P$10004="Pendiente")),ROWS($A$5:A50))),"")</f>
        <v/>
      </c>
      <c r="D50">
        <f>IFERROR(INDEX(MOVIMIENTOS!$D$5:$D$10004,AGGREGATE(15,6,(ROW(MOVIMIENTOS!$P$5:$P$10004)-ROW(MOVIMIENTOS!$P$5)+1)/(((MOVIMIENTOS!$C$5:$C$10004="Ingreso")+(MOVIMIENTOS!$C$5:$C$10004="Venta"))*(MOVIMIENTOS!$P$5:$P$10004="Pendiente")),ROWS($A$5:A50))),"")</f>
        <v/>
      </c>
      <c r="E50">
        <f>IFERROR(INDEX(MOVIMIENTOS!$O$5:$O$10004,AGGREGATE(15,6,(ROW(MOVIMIENTOS!$P$5:$P$10004)-ROW(MOVIMIENTOS!$P$5)+1)/(((MOVIMIENTOS!$C$5:$C$10004="Ingreso")+(MOVIMIENTOS!$C$5:$C$10004="Venta"))*(MOVIMIENTOS!$P$5:$P$10004="Pendiente")),ROWS($A$5:A50))),"")</f>
        <v/>
      </c>
      <c r="F50">
        <f>IF(A50="","",MAX(0,TODAY()-B50))</f>
        <v/>
      </c>
      <c r="G50">
        <f>IFERROR(INDEX(MOVIMIENTOS!$P$5:$P$10004,AGGREGATE(15,6,(ROW(MOVIMIENTOS!$P$5:$P$10004)-ROW(MOVIMIENTOS!$P$5)+1)/(((MOVIMIENTOS!$C$5:$C$10004="Ingreso")+(MOVIMIENTOS!$C$5:$C$10004="Venta"))*(MOVIMIENTOS!$P$5:$P$10004="Pendiente")),ROWS($A$5:A50))),"")</f>
        <v/>
      </c>
    </row>
    <row r="51">
      <c r="A51">
        <f>IFERROR(INDEX(MOVIMIENTOS!$A$5:$A$10004,AGGREGATE(15,6,(ROW(MOVIMIENTOS!$P$5:$P$10004)-ROW(MOVIMIENTOS!$P$5)+1)/(((MOVIMIENTOS!$C$5:$C$10004="Ingreso")+(MOVIMIENTOS!$C$5:$C$10004="Venta"))*(MOVIMIENTOS!$P$5:$P$10004="Pendiente")),ROWS($A$5:A51))),"")</f>
        <v/>
      </c>
      <c r="B51">
        <f>IFERROR(INDEX(MOVIMIENTOS!$B$5:$B$10004,AGGREGATE(15,6,(ROW(MOVIMIENTOS!$P$5:$P$10004)-ROW(MOVIMIENTOS!$P$5)+1)/(((MOVIMIENTOS!$C$5:$C$10004="Ingreso")+(MOVIMIENTOS!$C$5:$C$10004="Venta"))*(MOVIMIENTOS!$P$5:$P$10004="Pendiente")),ROWS($A$5:A51))),"")</f>
        <v/>
      </c>
      <c r="C51">
        <f>IFERROR(INDEX(MOVIMIENTOS!$E$5:$E$10004,AGGREGATE(15,6,(ROW(MOVIMIENTOS!$P$5:$P$10004)-ROW(MOVIMIENTOS!$P$5)+1)/(((MOVIMIENTOS!$C$5:$C$10004="Ingreso")+(MOVIMIENTOS!$C$5:$C$10004="Venta"))*(MOVIMIENTOS!$P$5:$P$10004="Pendiente")),ROWS($A$5:A51))),"")</f>
        <v/>
      </c>
      <c r="D51">
        <f>IFERROR(INDEX(MOVIMIENTOS!$D$5:$D$10004,AGGREGATE(15,6,(ROW(MOVIMIENTOS!$P$5:$P$10004)-ROW(MOVIMIENTOS!$P$5)+1)/(((MOVIMIENTOS!$C$5:$C$10004="Ingreso")+(MOVIMIENTOS!$C$5:$C$10004="Venta"))*(MOVIMIENTOS!$P$5:$P$10004="Pendiente")),ROWS($A$5:A51))),"")</f>
        <v/>
      </c>
      <c r="E51">
        <f>IFERROR(INDEX(MOVIMIENTOS!$O$5:$O$10004,AGGREGATE(15,6,(ROW(MOVIMIENTOS!$P$5:$P$10004)-ROW(MOVIMIENTOS!$P$5)+1)/(((MOVIMIENTOS!$C$5:$C$10004="Ingreso")+(MOVIMIENTOS!$C$5:$C$10004="Venta"))*(MOVIMIENTOS!$P$5:$P$10004="Pendiente")),ROWS($A$5:A51))),"")</f>
        <v/>
      </c>
      <c r="F51">
        <f>IF(A51="","",MAX(0,TODAY()-B51))</f>
        <v/>
      </c>
      <c r="G51">
        <f>IFERROR(INDEX(MOVIMIENTOS!$P$5:$P$10004,AGGREGATE(15,6,(ROW(MOVIMIENTOS!$P$5:$P$10004)-ROW(MOVIMIENTOS!$P$5)+1)/(((MOVIMIENTOS!$C$5:$C$10004="Ingreso")+(MOVIMIENTOS!$C$5:$C$10004="Venta"))*(MOVIMIENTOS!$P$5:$P$10004="Pendiente")),ROWS($A$5:A51))),"")</f>
        <v/>
      </c>
    </row>
    <row r="52">
      <c r="A52">
        <f>IFERROR(INDEX(MOVIMIENTOS!$A$5:$A$10004,AGGREGATE(15,6,(ROW(MOVIMIENTOS!$P$5:$P$10004)-ROW(MOVIMIENTOS!$P$5)+1)/(((MOVIMIENTOS!$C$5:$C$10004="Ingreso")+(MOVIMIENTOS!$C$5:$C$10004="Venta"))*(MOVIMIENTOS!$P$5:$P$10004="Pendiente")),ROWS($A$5:A52))),"")</f>
        <v/>
      </c>
      <c r="B52">
        <f>IFERROR(INDEX(MOVIMIENTOS!$B$5:$B$10004,AGGREGATE(15,6,(ROW(MOVIMIENTOS!$P$5:$P$10004)-ROW(MOVIMIENTOS!$P$5)+1)/(((MOVIMIENTOS!$C$5:$C$10004="Ingreso")+(MOVIMIENTOS!$C$5:$C$10004="Venta"))*(MOVIMIENTOS!$P$5:$P$10004="Pendiente")),ROWS($A$5:A52))),"")</f>
        <v/>
      </c>
      <c r="C52">
        <f>IFERROR(INDEX(MOVIMIENTOS!$E$5:$E$10004,AGGREGATE(15,6,(ROW(MOVIMIENTOS!$P$5:$P$10004)-ROW(MOVIMIENTOS!$P$5)+1)/(((MOVIMIENTOS!$C$5:$C$10004="Ingreso")+(MOVIMIENTOS!$C$5:$C$10004="Venta"))*(MOVIMIENTOS!$P$5:$P$10004="Pendiente")),ROWS($A$5:A52))),"")</f>
        <v/>
      </c>
      <c r="D52">
        <f>IFERROR(INDEX(MOVIMIENTOS!$D$5:$D$10004,AGGREGATE(15,6,(ROW(MOVIMIENTOS!$P$5:$P$10004)-ROW(MOVIMIENTOS!$P$5)+1)/(((MOVIMIENTOS!$C$5:$C$10004="Ingreso")+(MOVIMIENTOS!$C$5:$C$10004="Venta"))*(MOVIMIENTOS!$P$5:$P$10004="Pendiente")),ROWS($A$5:A52))),"")</f>
        <v/>
      </c>
      <c r="E52">
        <f>IFERROR(INDEX(MOVIMIENTOS!$O$5:$O$10004,AGGREGATE(15,6,(ROW(MOVIMIENTOS!$P$5:$P$10004)-ROW(MOVIMIENTOS!$P$5)+1)/(((MOVIMIENTOS!$C$5:$C$10004="Ingreso")+(MOVIMIENTOS!$C$5:$C$10004="Venta"))*(MOVIMIENTOS!$P$5:$P$10004="Pendiente")),ROWS($A$5:A52))),"")</f>
        <v/>
      </c>
      <c r="F52">
        <f>IF(A52="","",MAX(0,TODAY()-B52))</f>
        <v/>
      </c>
      <c r="G52">
        <f>IFERROR(INDEX(MOVIMIENTOS!$P$5:$P$10004,AGGREGATE(15,6,(ROW(MOVIMIENTOS!$P$5:$P$10004)-ROW(MOVIMIENTOS!$P$5)+1)/(((MOVIMIENTOS!$C$5:$C$10004="Ingreso")+(MOVIMIENTOS!$C$5:$C$10004="Venta"))*(MOVIMIENTOS!$P$5:$P$10004="Pendiente")),ROWS($A$5:A52))),"")</f>
        <v/>
      </c>
    </row>
    <row r="53">
      <c r="A53">
        <f>IFERROR(INDEX(MOVIMIENTOS!$A$5:$A$10004,AGGREGATE(15,6,(ROW(MOVIMIENTOS!$P$5:$P$10004)-ROW(MOVIMIENTOS!$P$5)+1)/(((MOVIMIENTOS!$C$5:$C$10004="Ingreso")+(MOVIMIENTOS!$C$5:$C$10004="Venta"))*(MOVIMIENTOS!$P$5:$P$10004="Pendiente")),ROWS($A$5:A53))),"")</f>
        <v/>
      </c>
      <c r="B53">
        <f>IFERROR(INDEX(MOVIMIENTOS!$B$5:$B$10004,AGGREGATE(15,6,(ROW(MOVIMIENTOS!$P$5:$P$10004)-ROW(MOVIMIENTOS!$P$5)+1)/(((MOVIMIENTOS!$C$5:$C$10004="Ingreso")+(MOVIMIENTOS!$C$5:$C$10004="Venta"))*(MOVIMIENTOS!$P$5:$P$10004="Pendiente")),ROWS($A$5:A53))),"")</f>
        <v/>
      </c>
      <c r="C53">
        <f>IFERROR(INDEX(MOVIMIENTOS!$E$5:$E$10004,AGGREGATE(15,6,(ROW(MOVIMIENTOS!$P$5:$P$10004)-ROW(MOVIMIENTOS!$P$5)+1)/(((MOVIMIENTOS!$C$5:$C$10004="Ingreso")+(MOVIMIENTOS!$C$5:$C$10004="Venta"))*(MOVIMIENTOS!$P$5:$P$10004="Pendiente")),ROWS($A$5:A53))),"")</f>
        <v/>
      </c>
      <c r="D53">
        <f>IFERROR(INDEX(MOVIMIENTOS!$D$5:$D$10004,AGGREGATE(15,6,(ROW(MOVIMIENTOS!$P$5:$P$10004)-ROW(MOVIMIENTOS!$P$5)+1)/(((MOVIMIENTOS!$C$5:$C$10004="Ingreso")+(MOVIMIENTOS!$C$5:$C$10004="Venta"))*(MOVIMIENTOS!$P$5:$P$10004="Pendiente")),ROWS($A$5:A53))),"")</f>
        <v/>
      </c>
      <c r="E53">
        <f>IFERROR(INDEX(MOVIMIENTOS!$O$5:$O$10004,AGGREGATE(15,6,(ROW(MOVIMIENTOS!$P$5:$P$10004)-ROW(MOVIMIENTOS!$P$5)+1)/(((MOVIMIENTOS!$C$5:$C$10004="Ingreso")+(MOVIMIENTOS!$C$5:$C$10004="Venta"))*(MOVIMIENTOS!$P$5:$P$10004="Pendiente")),ROWS($A$5:A53))),"")</f>
        <v/>
      </c>
      <c r="F53">
        <f>IF(A53="","",MAX(0,TODAY()-B53))</f>
        <v/>
      </c>
      <c r="G53">
        <f>IFERROR(INDEX(MOVIMIENTOS!$P$5:$P$10004,AGGREGATE(15,6,(ROW(MOVIMIENTOS!$P$5:$P$10004)-ROW(MOVIMIENTOS!$P$5)+1)/(((MOVIMIENTOS!$C$5:$C$10004="Ingreso")+(MOVIMIENTOS!$C$5:$C$10004="Venta"))*(MOVIMIENTOS!$P$5:$P$10004="Pendiente")),ROWS($A$5:A53))),"")</f>
        <v/>
      </c>
    </row>
    <row r="54">
      <c r="A54">
        <f>IFERROR(INDEX(MOVIMIENTOS!$A$5:$A$10004,AGGREGATE(15,6,(ROW(MOVIMIENTOS!$P$5:$P$10004)-ROW(MOVIMIENTOS!$P$5)+1)/(((MOVIMIENTOS!$C$5:$C$10004="Ingreso")+(MOVIMIENTOS!$C$5:$C$10004="Venta"))*(MOVIMIENTOS!$P$5:$P$10004="Pendiente")),ROWS($A$5:A54))),"")</f>
        <v/>
      </c>
      <c r="B54">
        <f>IFERROR(INDEX(MOVIMIENTOS!$B$5:$B$10004,AGGREGATE(15,6,(ROW(MOVIMIENTOS!$P$5:$P$10004)-ROW(MOVIMIENTOS!$P$5)+1)/(((MOVIMIENTOS!$C$5:$C$10004="Ingreso")+(MOVIMIENTOS!$C$5:$C$10004="Venta"))*(MOVIMIENTOS!$P$5:$P$10004="Pendiente")),ROWS($A$5:A54))),"")</f>
        <v/>
      </c>
      <c r="C54">
        <f>IFERROR(INDEX(MOVIMIENTOS!$E$5:$E$10004,AGGREGATE(15,6,(ROW(MOVIMIENTOS!$P$5:$P$10004)-ROW(MOVIMIENTOS!$P$5)+1)/(((MOVIMIENTOS!$C$5:$C$10004="Ingreso")+(MOVIMIENTOS!$C$5:$C$10004="Venta"))*(MOVIMIENTOS!$P$5:$P$10004="Pendiente")),ROWS($A$5:A54))),"")</f>
        <v/>
      </c>
      <c r="D54">
        <f>IFERROR(INDEX(MOVIMIENTOS!$D$5:$D$10004,AGGREGATE(15,6,(ROW(MOVIMIENTOS!$P$5:$P$10004)-ROW(MOVIMIENTOS!$P$5)+1)/(((MOVIMIENTOS!$C$5:$C$10004="Ingreso")+(MOVIMIENTOS!$C$5:$C$10004="Venta"))*(MOVIMIENTOS!$P$5:$P$10004="Pendiente")),ROWS($A$5:A54))),"")</f>
        <v/>
      </c>
      <c r="E54">
        <f>IFERROR(INDEX(MOVIMIENTOS!$O$5:$O$10004,AGGREGATE(15,6,(ROW(MOVIMIENTOS!$P$5:$P$10004)-ROW(MOVIMIENTOS!$P$5)+1)/(((MOVIMIENTOS!$C$5:$C$10004="Ingreso")+(MOVIMIENTOS!$C$5:$C$10004="Venta"))*(MOVIMIENTOS!$P$5:$P$10004="Pendiente")),ROWS($A$5:A54))),"")</f>
        <v/>
      </c>
      <c r="F54">
        <f>IF(A54="","",MAX(0,TODAY()-B54))</f>
        <v/>
      </c>
      <c r="G54">
        <f>IFERROR(INDEX(MOVIMIENTOS!$P$5:$P$10004,AGGREGATE(15,6,(ROW(MOVIMIENTOS!$P$5:$P$10004)-ROW(MOVIMIENTOS!$P$5)+1)/(((MOVIMIENTOS!$C$5:$C$10004="Ingreso")+(MOVIMIENTOS!$C$5:$C$10004="Venta"))*(MOVIMIENTOS!$P$5:$P$10004="Pendiente")),ROWS($A$5:A54))),"")</f>
        <v/>
      </c>
    </row>
    <row r="55">
      <c r="A55">
        <f>IFERROR(INDEX(MOVIMIENTOS!$A$5:$A$10004,AGGREGATE(15,6,(ROW(MOVIMIENTOS!$P$5:$P$10004)-ROW(MOVIMIENTOS!$P$5)+1)/(((MOVIMIENTOS!$C$5:$C$10004="Ingreso")+(MOVIMIENTOS!$C$5:$C$10004="Venta"))*(MOVIMIENTOS!$P$5:$P$10004="Pendiente")),ROWS($A$5:A55))),"")</f>
        <v/>
      </c>
      <c r="B55">
        <f>IFERROR(INDEX(MOVIMIENTOS!$B$5:$B$10004,AGGREGATE(15,6,(ROW(MOVIMIENTOS!$P$5:$P$10004)-ROW(MOVIMIENTOS!$P$5)+1)/(((MOVIMIENTOS!$C$5:$C$10004="Ingreso")+(MOVIMIENTOS!$C$5:$C$10004="Venta"))*(MOVIMIENTOS!$P$5:$P$10004="Pendiente")),ROWS($A$5:A55))),"")</f>
        <v/>
      </c>
      <c r="C55">
        <f>IFERROR(INDEX(MOVIMIENTOS!$E$5:$E$10004,AGGREGATE(15,6,(ROW(MOVIMIENTOS!$P$5:$P$10004)-ROW(MOVIMIENTOS!$P$5)+1)/(((MOVIMIENTOS!$C$5:$C$10004="Ingreso")+(MOVIMIENTOS!$C$5:$C$10004="Venta"))*(MOVIMIENTOS!$P$5:$P$10004="Pendiente")),ROWS($A$5:A55))),"")</f>
        <v/>
      </c>
      <c r="D55">
        <f>IFERROR(INDEX(MOVIMIENTOS!$D$5:$D$10004,AGGREGATE(15,6,(ROW(MOVIMIENTOS!$P$5:$P$10004)-ROW(MOVIMIENTOS!$P$5)+1)/(((MOVIMIENTOS!$C$5:$C$10004="Ingreso")+(MOVIMIENTOS!$C$5:$C$10004="Venta"))*(MOVIMIENTOS!$P$5:$P$10004="Pendiente")),ROWS($A$5:A55))),"")</f>
        <v/>
      </c>
      <c r="E55">
        <f>IFERROR(INDEX(MOVIMIENTOS!$O$5:$O$10004,AGGREGATE(15,6,(ROW(MOVIMIENTOS!$P$5:$P$10004)-ROW(MOVIMIENTOS!$P$5)+1)/(((MOVIMIENTOS!$C$5:$C$10004="Ingreso")+(MOVIMIENTOS!$C$5:$C$10004="Venta"))*(MOVIMIENTOS!$P$5:$P$10004="Pendiente")),ROWS($A$5:A55))),"")</f>
        <v/>
      </c>
      <c r="F55">
        <f>IF(A55="","",MAX(0,TODAY()-B55))</f>
        <v/>
      </c>
      <c r="G55">
        <f>IFERROR(INDEX(MOVIMIENTOS!$P$5:$P$10004,AGGREGATE(15,6,(ROW(MOVIMIENTOS!$P$5:$P$10004)-ROW(MOVIMIENTOS!$P$5)+1)/(((MOVIMIENTOS!$C$5:$C$10004="Ingreso")+(MOVIMIENTOS!$C$5:$C$10004="Venta"))*(MOVIMIENTOS!$P$5:$P$10004="Pendiente")),ROWS($A$5:A55))),"")</f>
        <v/>
      </c>
    </row>
    <row r="56">
      <c r="A56">
        <f>IFERROR(INDEX(MOVIMIENTOS!$A$5:$A$10004,AGGREGATE(15,6,(ROW(MOVIMIENTOS!$P$5:$P$10004)-ROW(MOVIMIENTOS!$P$5)+1)/(((MOVIMIENTOS!$C$5:$C$10004="Ingreso")+(MOVIMIENTOS!$C$5:$C$10004="Venta"))*(MOVIMIENTOS!$P$5:$P$10004="Pendiente")),ROWS($A$5:A56))),"")</f>
        <v/>
      </c>
      <c r="B56">
        <f>IFERROR(INDEX(MOVIMIENTOS!$B$5:$B$10004,AGGREGATE(15,6,(ROW(MOVIMIENTOS!$P$5:$P$10004)-ROW(MOVIMIENTOS!$P$5)+1)/(((MOVIMIENTOS!$C$5:$C$10004="Ingreso")+(MOVIMIENTOS!$C$5:$C$10004="Venta"))*(MOVIMIENTOS!$P$5:$P$10004="Pendiente")),ROWS($A$5:A56))),"")</f>
        <v/>
      </c>
      <c r="C56">
        <f>IFERROR(INDEX(MOVIMIENTOS!$E$5:$E$10004,AGGREGATE(15,6,(ROW(MOVIMIENTOS!$P$5:$P$10004)-ROW(MOVIMIENTOS!$P$5)+1)/(((MOVIMIENTOS!$C$5:$C$10004="Ingreso")+(MOVIMIENTOS!$C$5:$C$10004="Venta"))*(MOVIMIENTOS!$P$5:$P$10004="Pendiente")),ROWS($A$5:A56))),"")</f>
        <v/>
      </c>
      <c r="D56">
        <f>IFERROR(INDEX(MOVIMIENTOS!$D$5:$D$10004,AGGREGATE(15,6,(ROW(MOVIMIENTOS!$P$5:$P$10004)-ROW(MOVIMIENTOS!$P$5)+1)/(((MOVIMIENTOS!$C$5:$C$10004="Ingreso")+(MOVIMIENTOS!$C$5:$C$10004="Venta"))*(MOVIMIENTOS!$P$5:$P$10004="Pendiente")),ROWS($A$5:A56))),"")</f>
        <v/>
      </c>
      <c r="E56">
        <f>IFERROR(INDEX(MOVIMIENTOS!$O$5:$O$10004,AGGREGATE(15,6,(ROW(MOVIMIENTOS!$P$5:$P$10004)-ROW(MOVIMIENTOS!$P$5)+1)/(((MOVIMIENTOS!$C$5:$C$10004="Ingreso")+(MOVIMIENTOS!$C$5:$C$10004="Venta"))*(MOVIMIENTOS!$P$5:$P$10004="Pendiente")),ROWS($A$5:A56))),"")</f>
        <v/>
      </c>
      <c r="F56">
        <f>IF(A56="","",MAX(0,TODAY()-B56))</f>
        <v/>
      </c>
      <c r="G56">
        <f>IFERROR(INDEX(MOVIMIENTOS!$P$5:$P$10004,AGGREGATE(15,6,(ROW(MOVIMIENTOS!$P$5:$P$10004)-ROW(MOVIMIENTOS!$P$5)+1)/(((MOVIMIENTOS!$C$5:$C$10004="Ingreso")+(MOVIMIENTOS!$C$5:$C$10004="Venta"))*(MOVIMIENTOS!$P$5:$P$10004="Pendiente")),ROWS($A$5:A56))),"")</f>
        <v/>
      </c>
    </row>
    <row r="57">
      <c r="A57">
        <f>IFERROR(INDEX(MOVIMIENTOS!$A$5:$A$10004,AGGREGATE(15,6,(ROW(MOVIMIENTOS!$P$5:$P$10004)-ROW(MOVIMIENTOS!$P$5)+1)/(((MOVIMIENTOS!$C$5:$C$10004="Ingreso")+(MOVIMIENTOS!$C$5:$C$10004="Venta"))*(MOVIMIENTOS!$P$5:$P$10004="Pendiente")),ROWS($A$5:A57))),"")</f>
        <v/>
      </c>
      <c r="B57">
        <f>IFERROR(INDEX(MOVIMIENTOS!$B$5:$B$10004,AGGREGATE(15,6,(ROW(MOVIMIENTOS!$P$5:$P$10004)-ROW(MOVIMIENTOS!$P$5)+1)/(((MOVIMIENTOS!$C$5:$C$10004="Ingreso")+(MOVIMIENTOS!$C$5:$C$10004="Venta"))*(MOVIMIENTOS!$P$5:$P$10004="Pendiente")),ROWS($A$5:A57))),"")</f>
        <v/>
      </c>
      <c r="C57">
        <f>IFERROR(INDEX(MOVIMIENTOS!$E$5:$E$10004,AGGREGATE(15,6,(ROW(MOVIMIENTOS!$P$5:$P$10004)-ROW(MOVIMIENTOS!$P$5)+1)/(((MOVIMIENTOS!$C$5:$C$10004="Ingreso")+(MOVIMIENTOS!$C$5:$C$10004="Venta"))*(MOVIMIENTOS!$P$5:$P$10004="Pendiente")),ROWS($A$5:A57))),"")</f>
        <v/>
      </c>
      <c r="D57">
        <f>IFERROR(INDEX(MOVIMIENTOS!$D$5:$D$10004,AGGREGATE(15,6,(ROW(MOVIMIENTOS!$P$5:$P$10004)-ROW(MOVIMIENTOS!$P$5)+1)/(((MOVIMIENTOS!$C$5:$C$10004="Ingreso")+(MOVIMIENTOS!$C$5:$C$10004="Venta"))*(MOVIMIENTOS!$P$5:$P$10004="Pendiente")),ROWS($A$5:A57))),"")</f>
        <v/>
      </c>
      <c r="E57">
        <f>IFERROR(INDEX(MOVIMIENTOS!$O$5:$O$10004,AGGREGATE(15,6,(ROW(MOVIMIENTOS!$P$5:$P$10004)-ROW(MOVIMIENTOS!$P$5)+1)/(((MOVIMIENTOS!$C$5:$C$10004="Ingreso")+(MOVIMIENTOS!$C$5:$C$10004="Venta"))*(MOVIMIENTOS!$P$5:$P$10004="Pendiente")),ROWS($A$5:A57))),"")</f>
        <v/>
      </c>
      <c r="F57">
        <f>IF(A57="","",MAX(0,TODAY()-B57))</f>
        <v/>
      </c>
      <c r="G57">
        <f>IFERROR(INDEX(MOVIMIENTOS!$P$5:$P$10004,AGGREGATE(15,6,(ROW(MOVIMIENTOS!$P$5:$P$10004)-ROW(MOVIMIENTOS!$P$5)+1)/(((MOVIMIENTOS!$C$5:$C$10004="Ingreso")+(MOVIMIENTOS!$C$5:$C$10004="Venta"))*(MOVIMIENTOS!$P$5:$P$10004="Pendiente")),ROWS($A$5:A57))),"")</f>
        <v/>
      </c>
    </row>
    <row r="58">
      <c r="A58">
        <f>IFERROR(INDEX(MOVIMIENTOS!$A$5:$A$10004,AGGREGATE(15,6,(ROW(MOVIMIENTOS!$P$5:$P$10004)-ROW(MOVIMIENTOS!$P$5)+1)/(((MOVIMIENTOS!$C$5:$C$10004="Ingreso")+(MOVIMIENTOS!$C$5:$C$10004="Venta"))*(MOVIMIENTOS!$P$5:$P$10004="Pendiente")),ROWS($A$5:A58))),"")</f>
        <v/>
      </c>
      <c r="B58">
        <f>IFERROR(INDEX(MOVIMIENTOS!$B$5:$B$10004,AGGREGATE(15,6,(ROW(MOVIMIENTOS!$P$5:$P$10004)-ROW(MOVIMIENTOS!$P$5)+1)/(((MOVIMIENTOS!$C$5:$C$10004="Ingreso")+(MOVIMIENTOS!$C$5:$C$10004="Venta"))*(MOVIMIENTOS!$P$5:$P$10004="Pendiente")),ROWS($A$5:A58))),"")</f>
        <v/>
      </c>
      <c r="C58">
        <f>IFERROR(INDEX(MOVIMIENTOS!$E$5:$E$10004,AGGREGATE(15,6,(ROW(MOVIMIENTOS!$P$5:$P$10004)-ROW(MOVIMIENTOS!$P$5)+1)/(((MOVIMIENTOS!$C$5:$C$10004="Ingreso")+(MOVIMIENTOS!$C$5:$C$10004="Venta"))*(MOVIMIENTOS!$P$5:$P$10004="Pendiente")),ROWS($A$5:A58))),"")</f>
        <v/>
      </c>
      <c r="D58">
        <f>IFERROR(INDEX(MOVIMIENTOS!$D$5:$D$10004,AGGREGATE(15,6,(ROW(MOVIMIENTOS!$P$5:$P$10004)-ROW(MOVIMIENTOS!$P$5)+1)/(((MOVIMIENTOS!$C$5:$C$10004="Ingreso")+(MOVIMIENTOS!$C$5:$C$10004="Venta"))*(MOVIMIENTOS!$P$5:$P$10004="Pendiente")),ROWS($A$5:A58))),"")</f>
        <v/>
      </c>
      <c r="E58">
        <f>IFERROR(INDEX(MOVIMIENTOS!$O$5:$O$10004,AGGREGATE(15,6,(ROW(MOVIMIENTOS!$P$5:$P$10004)-ROW(MOVIMIENTOS!$P$5)+1)/(((MOVIMIENTOS!$C$5:$C$10004="Ingreso")+(MOVIMIENTOS!$C$5:$C$10004="Venta"))*(MOVIMIENTOS!$P$5:$P$10004="Pendiente")),ROWS($A$5:A58))),"")</f>
        <v/>
      </c>
      <c r="F58">
        <f>IF(A58="","",MAX(0,TODAY()-B58))</f>
        <v/>
      </c>
      <c r="G58">
        <f>IFERROR(INDEX(MOVIMIENTOS!$P$5:$P$10004,AGGREGATE(15,6,(ROW(MOVIMIENTOS!$P$5:$P$10004)-ROW(MOVIMIENTOS!$P$5)+1)/(((MOVIMIENTOS!$C$5:$C$10004="Ingreso")+(MOVIMIENTOS!$C$5:$C$10004="Venta"))*(MOVIMIENTOS!$P$5:$P$10004="Pendiente")),ROWS($A$5:A58))),"")</f>
        <v/>
      </c>
    </row>
    <row r="59">
      <c r="A59">
        <f>IFERROR(INDEX(MOVIMIENTOS!$A$5:$A$10004,AGGREGATE(15,6,(ROW(MOVIMIENTOS!$P$5:$P$10004)-ROW(MOVIMIENTOS!$P$5)+1)/(((MOVIMIENTOS!$C$5:$C$10004="Ingreso")+(MOVIMIENTOS!$C$5:$C$10004="Venta"))*(MOVIMIENTOS!$P$5:$P$10004="Pendiente")),ROWS($A$5:A59))),"")</f>
        <v/>
      </c>
      <c r="B59">
        <f>IFERROR(INDEX(MOVIMIENTOS!$B$5:$B$10004,AGGREGATE(15,6,(ROW(MOVIMIENTOS!$P$5:$P$10004)-ROW(MOVIMIENTOS!$P$5)+1)/(((MOVIMIENTOS!$C$5:$C$10004="Ingreso")+(MOVIMIENTOS!$C$5:$C$10004="Venta"))*(MOVIMIENTOS!$P$5:$P$10004="Pendiente")),ROWS($A$5:A59))),"")</f>
        <v/>
      </c>
      <c r="C59">
        <f>IFERROR(INDEX(MOVIMIENTOS!$E$5:$E$10004,AGGREGATE(15,6,(ROW(MOVIMIENTOS!$P$5:$P$10004)-ROW(MOVIMIENTOS!$P$5)+1)/(((MOVIMIENTOS!$C$5:$C$10004="Ingreso")+(MOVIMIENTOS!$C$5:$C$10004="Venta"))*(MOVIMIENTOS!$P$5:$P$10004="Pendiente")),ROWS($A$5:A59))),"")</f>
        <v/>
      </c>
      <c r="D59">
        <f>IFERROR(INDEX(MOVIMIENTOS!$D$5:$D$10004,AGGREGATE(15,6,(ROW(MOVIMIENTOS!$P$5:$P$10004)-ROW(MOVIMIENTOS!$P$5)+1)/(((MOVIMIENTOS!$C$5:$C$10004="Ingreso")+(MOVIMIENTOS!$C$5:$C$10004="Venta"))*(MOVIMIENTOS!$P$5:$P$10004="Pendiente")),ROWS($A$5:A59))),"")</f>
        <v/>
      </c>
      <c r="E59">
        <f>IFERROR(INDEX(MOVIMIENTOS!$O$5:$O$10004,AGGREGATE(15,6,(ROW(MOVIMIENTOS!$P$5:$P$10004)-ROW(MOVIMIENTOS!$P$5)+1)/(((MOVIMIENTOS!$C$5:$C$10004="Ingreso")+(MOVIMIENTOS!$C$5:$C$10004="Venta"))*(MOVIMIENTOS!$P$5:$P$10004="Pendiente")),ROWS($A$5:A59))),"")</f>
        <v/>
      </c>
      <c r="F59">
        <f>IF(A59="","",MAX(0,TODAY()-B59))</f>
        <v/>
      </c>
      <c r="G59">
        <f>IFERROR(INDEX(MOVIMIENTOS!$P$5:$P$10004,AGGREGATE(15,6,(ROW(MOVIMIENTOS!$P$5:$P$10004)-ROW(MOVIMIENTOS!$P$5)+1)/(((MOVIMIENTOS!$C$5:$C$10004="Ingreso")+(MOVIMIENTOS!$C$5:$C$10004="Venta"))*(MOVIMIENTOS!$P$5:$P$10004="Pendiente")),ROWS($A$5:A59))),"")</f>
        <v/>
      </c>
    </row>
    <row r="60">
      <c r="A60">
        <f>IFERROR(INDEX(MOVIMIENTOS!$A$5:$A$10004,AGGREGATE(15,6,(ROW(MOVIMIENTOS!$P$5:$P$10004)-ROW(MOVIMIENTOS!$P$5)+1)/(((MOVIMIENTOS!$C$5:$C$10004="Ingreso")+(MOVIMIENTOS!$C$5:$C$10004="Venta"))*(MOVIMIENTOS!$P$5:$P$10004="Pendiente")),ROWS($A$5:A60))),"")</f>
        <v/>
      </c>
      <c r="B60">
        <f>IFERROR(INDEX(MOVIMIENTOS!$B$5:$B$10004,AGGREGATE(15,6,(ROW(MOVIMIENTOS!$P$5:$P$10004)-ROW(MOVIMIENTOS!$P$5)+1)/(((MOVIMIENTOS!$C$5:$C$10004="Ingreso")+(MOVIMIENTOS!$C$5:$C$10004="Venta"))*(MOVIMIENTOS!$P$5:$P$10004="Pendiente")),ROWS($A$5:A60))),"")</f>
        <v/>
      </c>
      <c r="C60">
        <f>IFERROR(INDEX(MOVIMIENTOS!$E$5:$E$10004,AGGREGATE(15,6,(ROW(MOVIMIENTOS!$P$5:$P$10004)-ROW(MOVIMIENTOS!$P$5)+1)/(((MOVIMIENTOS!$C$5:$C$10004="Ingreso")+(MOVIMIENTOS!$C$5:$C$10004="Venta"))*(MOVIMIENTOS!$P$5:$P$10004="Pendiente")),ROWS($A$5:A60))),"")</f>
        <v/>
      </c>
      <c r="D60">
        <f>IFERROR(INDEX(MOVIMIENTOS!$D$5:$D$10004,AGGREGATE(15,6,(ROW(MOVIMIENTOS!$P$5:$P$10004)-ROW(MOVIMIENTOS!$P$5)+1)/(((MOVIMIENTOS!$C$5:$C$10004="Ingreso")+(MOVIMIENTOS!$C$5:$C$10004="Venta"))*(MOVIMIENTOS!$P$5:$P$10004="Pendiente")),ROWS($A$5:A60))),"")</f>
        <v/>
      </c>
      <c r="E60">
        <f>IFERROR(INDEX(MOVIMIENTOS!$O$5:$O$10004,AGGREGATE(15,6,(ROW(MOVIMIENTOS!$P$5:$P$10004)-ROW(MOVIMIENTOS!$P$5)+1)/(((MOVIMIENTOS!$C$5:$C$10004="Ingreso")+(MOVIMIENTOS!$C$5:$C$10004="Venta"))*(MOVIMIENTOS!$P$5:$P$10004="Pendiente")),ROWS($A$5:A60))),"")</f>
        <v/>
      </c>
      <c r="F60">
        <f>IF(A60="","",MAX(0,TODAY()-B60))</f>
        <v/>
      </c>
      <c r="G60">
        <f>IFERROR(INDEX(MOVIMIENTOS!$P$5:$P$10004,AGGREGATE(15,6,(ROW(MOVIMIENTOS!$P$5:$P$10004)-ROW(MOVIMIENTOS!$P$5)+1)/(((MOVIMIENTOS!$C$5:$C$10004="Ingreso")+(MOVIMIENTOS!$C$5:$C$10004="Venta"))*(MOVIMIENTOS!$P$5:$P$10004="Pendiente")),ROWS($A$5:A60))),"")</f>
        <v/>
      </c>
    </row>
    <row r="61">
      <c r="A61">
        <f>IFERROR(INDEX(MOVIMIENTOS!$A$5:$A$10004,AGGREGATE(15,6,(ROW(MOVIMIENTOS!$P$5:$P$10004)-ROW(MOVIMIENTOS!$P$5)+1)/(((MOVIMIENTOS!$C$5:$C$10004="Ingreso")+(MOVIMIENTOS!$C$5:$C$10004="Venta"))*(MOVIMIENTOS!$P$5:$P$10004="Pendiente")),ROWS($A$5:A61))),"")</f>
        <v/>
      </c>
      <c r="B61">
        <f>IFERROR(INDEX(MOVIMIENTOS!$B$5:$B$10004,AGGREGATE(15,6,(ROW(MOVIMIENTOS!$P$5:$P$10004)-ROW(MOVIMIENTOS!$P$5)+1)/(((MOVIMIENTOS!$C$5:$C$10004="Ingreso")+(MOVIMIENTOS!$C$5:$C$10004="Venta"))*(MOVIMIENTOS!$P$5:$P$10004="Pendiente")),ROWS($A$5:A61))),"")</f>
        <v/>
      </c>
      <c r="C61">
        <f>IFERROR(INDEX(MOVIMIENTOS!$E$5:$E$10004,AGGREGATE(15,6,(ROW(MOVIMIENTOS!$P$5:$P$10004)-ROW(MOVIMIENTOS!$P$5)+1)/(((MOVIMIENTOS!$C$5:$C$10004="Ingreso")+(MOVIMIENTOS!$C$5:$C$10004="Venta"))*(MOVIMIENTOS!$P$5:$P$10004="Pendiente")),ROWS($A$5:A61))),"")</f>
        <v/>
      </c>
      <c r="D61">
        <f>IFERROR(INDEX(MOVIMIENTOS!$D$5:$D$10004,AGGREGATE(15,6,(ROW(MOVIMIENTOS!$P$5:$P$10004)-ROW(MOVIMIENTOS!$P$5)+1)/(((MOVIMIENTOS!$C$5:$C$10004="Ingreso")+(MOVIMIENTOS!$C$5:$C$10004="Venta"))*(MOVIMIENTOS!$P$5:$P$10004="Pendiente")),ROWS($A$5:A61))),"")</f>
        <v/>
      </c>
      <c r="E61">
        <f>IFERROR(INDEX(MOVIMIENTOS!$O$5:$O$10004,AGGREGATE(15,6,(ROW(MOVIMIENTOS!$P$5:$P$10004)-ROW(MOVIMIENTOS!$P$5)+1)/(((MOVIMIENTOS!$C$5:$C$10004="Ingreso")+(MOVIMIENTOS!$C$5:$C$10004="Venta"))*(MOVIMIENTOS!$P$5:$P$10004="Pendiente")),ROWS($A$5:A61))),"")</f>
        <v/>
      </c>
      <c r="F61">
        <f>IF(A61="","",MAX(0,TODAY()-B61))</f>
        <v/>
      </c>
      <c r="G61">
        <f>IFERROR(INDEX(MOVIMIENTOS!$P$5:$P$10004,AGGREGATE(15,6,(ROW(MOVIMIENTOS!$P$5:$P$10004)-ROW(MOVIMIENTOS!$P$5)+1)/(((MOVIMIENTOS!$C$5:$C$10004="Ingreso")+(MOVIMIENTOS!$C$5:$C$10004="Venta"))*(MOVIMIENTOS!$P$5:$P$10004="Pendiente")),ROWS($A$5:A61))),"")</f>
        <v/>
      </c>
    </row>
    <row r="62">
      <c r="A62">
        <f>IFERROR(INDEX(MOVIMIENTOS!$A$5:$A$10004,AGGREGATE(15,6,(ROW(MOVIMIENTOS!$P$5:$P$10004)-ROW(MOVIMIENTOS!$P$5)+1)/(((MOVIMIENTOS!$C$5:$C$10004="Ingreso")+(MOVIMIENTOS!$C$5:$C$10004="Venta"))*(MOVIMIENTOS!$P$5:$P$10004="Pendiente")),ROWS($A$5:A62))),"")</f>
        <v/>
      </c>
      <c r="B62">
        <f>IFERROR(INDEX(MOVIMIENTOS!$B$5:$B$10004,AGGREGATE(15,6,(ROW(MOVIMIENTOS!$P$5:$P$10004)-ROW(MOVIMIENTOS!$P$5)+1)/(((MOVIMIENTOS!$C$5:$C$10004="Ingreso")+(MOVIMIENTOS!$C$5:$C$10004="Venta"))*(MOVIMIENTOS!$P$5:$P$10004="Pendiente")),ROWS($A$5:A62))),"")</f>
        <v/>
      </c>
      <c r="C62">
        <f>IFERROR(INDEX(MOVIMIENTOS!$E$5:$E$10004,AGGREGATE(15,6,(ROW(MOVIMIENTOS!$P$5:$P$10004)-ROW(MOVIMIENTOS!$P$5)+1)/(((MOVIMIENTOS!$C$5:$C$10004="Ingreso")+(MOVIMIENTOS!$C$5:$C$10004="Venta"))*(MOVIMIENTOS!$P$5:$P$10004="Pendiente")),ROWS($A$5:A62))),"")</f>
        <v/>
      </c>
      <c r="D62">
        <f>IFERROR(INDEX(MOVIMIENTOS!$D$5:$D$10004,AGGREGATE(15,6,(ROW(MOVIMIENTOS!$P$5:$P$10004)-ROW(MOVIMIENTOS!$P$5)+1)/(((MOVIMIENTOS!$C$5:$C$10004="Ingreso")+(MOVIMIENTOS!$C$5:$C$10004="Venta"))*(MOVIMIENTOS!$P$5:$P$10004="Pendiente")),ROWS($A$5:A62))),"")</f>
        <v/>
      </c>
      <c r="E62">
        <f>IFERROR(INDEX(MOVIMIENTOS!$O$5:$O$10004,AGGREGATE(15,6,(ROW(MOVIMIENTOS!$P$5:$P$10004)-ROW(MOVIMIENTOS!$P$5)+1)/(((MOVIMIENTOS!$C$5:$C$10004="Ingreso")+(MOVIMIENTOS!$C$5:$C$10004="Venta"))*(MOVIMIENTOS!$P$5:$P$10004="Pendiente")),ROWS($A$5:A62))),"")</f>
        <v/>
      </c>
      <c r="F62">
        <f>IF(A62="","",MAX(0,TODAY()-B62))</f>
        <v/>
      </c>
      <c r="G62">
        <f>IFERROR(INDEX(MOVIMIENTOS!$P$5:$P$10004,AGGREGATE(15,6,(ROW(MOVIMIENTOS!$P$5:$P$10004)-ROW(MOVIMIENTOS!$P$5)+1)/(((MOVIMIENTOS!$C$5:$C$10004="Ingreso")+(MOVIMIENTOS!$C$5:$C$10004="Venta"))*(MOVIMIENTOS!$P$5:$P$10004="Pendiente")),ROWS($A$5:A62))),"")</f>
        <v/>
      </c>
    </row>
    <row r="63">
      <c r="A63">
        <f>IFERROR(INDEX(MOVIMIENTOS!$A$5:$A$10004,AGGREGATE(15,6,(ROW(MOVIMIENTOS!$P$5:$P$10004)-ROW(MOVIMIENTOS!$P$5)+1)/(((MOVIMIENTOS!$C$5:$C$10004="Ingreso")+(MOVIMIENTOS!$C$5:$C$10004="Venta"))*(MOVIMIENTOS!$P$5:$P$10004="Pendiente")),ROWS($A$5:A63))),"")</f>
        <v/>
      </c>
      <c r="B63">
        <f>IFERROR(INDEX(MOVIMIENTOS!$B$5:$B$10004,AGGREGATE(15,6,(ROW(MOVIMIENTOS!$P$5:$P$10004)-ROW(MOVIMIENTOS!$P$5)+1)/(((MOVIMIENTOS!$C$5:$C$10004="Ingreso")+(MOVIMIENTOS!$C$5:$C$10004="Venta"))*(MOVIMIENTOS!$P$5:$P$10004="Pendiente")),ROWS($A$5:A63))),"")</f>
        <v/>
      </c>
      <c r="C63">
        <f>IFERROR(INDEX(MOVIMIENTOS!$E$5:$E$10004,AGGREGATE(15,6,(ROW(MOVIMIENTOS!$P$5:$P$10004)-ROW(MOVIMIENTOS!$P$5)+1)/(((MOVIMIENTOS!$C$5:$C$10004="Ingreso")+(MOVIMIENTOS!$C$5:$C$10004="Venta"))*(MOVIMIENTOS!$P$5:$P$10004="Pendiente")),ROWS($A$5:A63))),"")</f>
        <v/>
      </c>
      <c r="D63">
        <f>IFERROR(INDEX(MOVIMIENTOS!$D$5:$D$10004,AGGREGATE(15,6,(ROW(MOVIMIENTOS!$P$5:$P$10004)-ROW(MOVIMIENTOS!$P$5)+1)/(((MOVIMIENTOS!$C$5:$C$10004="Ingreso")+(MOVIMIENTOS!$C$5:$C$10004="Venta"))*(MOVIMIENTOS!$P$5:$P$10004="Pendiente")),ROWS($A$5:A63))),"")</f>
        <v/>
      </c>
      <c r="E63">
        <f>IFERROR(INDEX(MOVIMIENTOS!$O$5:$O$10004,AGGREGATE(15,6,(ROW(MOVIMIENTOS!$P$5:$P$10004)-ROW(MOVIMIENTOS!$P$5)+1)/(((MOVIMIENTOS!$C$5:$C$10004="Ingreso")+(MOVIMIENTOS!$C$5:$C$10004="Venta"))*(MOVIMIENTOS!$P$5:$P$10004="Pendiente")),ROWS($A$5:A63))),"")</f>
        <v/>
      </c>
      <c r="F63">
        <f>IF(A63="","",MAX(0,TODAY()-B63))</f>
        <v/>
      </c>
      <c r="G63">
        <f>IFERROR(INDEX(MOVIMIENTOS!$P$5:$P$10004,AGGREGATE(15,6,(ROW(MOVIMIENTOS!$P$5:$P$10004)-ROW(MOVIMIENTOS!$P$5)+1)/(((MOVIMIENTOS!$C$5:$C$10004="Ingreso")+(MOVIMIENTOS!$C$5:$C$10004="Venta"))*(MOVIMIENTOS!$P$5:$P$10004="Pendiente")),ROWS($A$5:A63))),"")</f>
        <v/>
      </c>
    </row>
    <row r="64">
      <c r="A64">
        <f>IFERROR(INDEX(MOVIMIENTOS!$A$5:$A$10004,AGGREGATE(15,6,(ROW(MOVIMIENTOS!$P$5:$P$10004)-ROW(MOVIMIENTOS!$P$5)+1)/(((MOVIMIENTOS!$C$5:$C$10004="Ingreso")+(MOVIMIENTOS!$C$5:$C$10004="Venta"))*(MOVIMIENTOS!$P$5:$P$10004="Pendiente")),ROWS($A$5:A64))),"")</f>
        <v/>
      </c>
      <c r="B64">
        <f>IFERROR(INDEX(MOVIMIENTOS!$B$5:$B$10004,AGGREGATE(15,6,(ROW(MOVIMIENTOS!$P$5:$P$10004)-ROW(MOVIMIENTOS!$P$5)+1)/(((MOVIMIENTOS!$C$5:$C$10004="Ingreso")+(MOVIMIENTOS!$C$5:$C$10004="Venta"))*(MOVIMIENTOS!$P$5:$P$10004="Pendiente")),ROWS($A$5:A64))),"")</f>
        <v/>
      </c>
      <c r="C64">
        <f>IFERROR(INDEX(MOVIMIENTOS!$E$5:$E$10004,AGGREGATE(15,6,(ROW(MOVIMIENTOS!$P$5:$P$10004)-ROW(MOVIMIENTOS!$P$5)+1)/(((MOVIMIENTOS!$C$5:$C$10004="Ingreso")+(MOVIMIENTOS!$C$5:$C$10004="Venta"))*(MOVIMIENTOS!$P$5:$P$10004="Pendiente")),ROWS($A$5:A64))),"")</f>
        <v/>
      </c>
      <c r="D64">
        <f>IFERROR(INDEX(MOVIMIENTOS!$D$5:$D$10004,AGGREGATE(15,6,(ROW(MOVIMIENTOS!$P$5:$P$10004)-ROW(MOVIMIENTOS!$P$5)+1)/(((MOVIMIENTOS!$C$5:$C$10004="Ingreso")+(MOVIMIENTOS!$C$5:$C$10004="Venta"))*(MOVIMIENTOS!$P$5:$P$10004="Pendiente")),ROWS($A$5:A64))),"")</f>
        <v/>
      </c>
      <c r="E64">
        <f>IFERROR(INDEX(MOVIMIENTOS!$O$5:$O$10004,AGGREGATE(15,6,(ROW(MOVIMIENTOS!$P$5:$P$10004)-ROW(MOVIMIENTOS!$P$5)+1)/(((MOVIMIENTOS!$C$5:$C$10004="Ingreso")+(MOVIMIENTOS!$C$5:$C$10004="Venta"))*(MOVIMIENTOS!$P$5:$P$10004="Pendiente")),ROWS($A$5:A64))),"")</f>
        <v/>
      </c>
      <c r="F64">
        <f>IF(A64="","",MAX(0,TODAY()-B64))</f>
        <v/>
      </c>
      <c r="G64">
        <f>IFERROR(INDEX(MOVIMIENTOS!$P$5:$P$10004,AGGREGATE(15,6,(ROW(MOVIMIENTOS!$P$5:$P$10004)-ROW(MOVIMIENTOS!$P$5)+1)/(((MOVIMIENTOS!$C$5:$C$10004="Ingreso")+(MOVIMIENTOS!$C$5:$C$10004="Venta"))*(MOVIMIENTOS!$P$5:$P$10004="Pendiente")),ROWS($A$5:A64))),"")</f>
        <v/>
      </c>
    </row>
    <row r="65">
      <c r="A65">
        <f>IFERROR(INDEX(MOVIMIENTOS!$A$5:$A$10004,AGGREGATE(15,6,(ROW(MOVIMIENTOS!$P$5:$P$10004)-ROW(MOVIMIENTOS!$P$5)+1)/(((MOVIMIENTOS!$C$5:$C$10004="Ingreso")+(MOVIMIENTOS!$C$5:$C$10004="Venta"))*(MOVIMIENTOS!$P$5:$P$10004="Pendiente")),ROWS($A$5:A65))),"")</f>
        <v/>
      </c>
      <c r="B65">
        <f>IFERROR(INDEX(MOVIMIENTOS!$B$5:$B$10004,AGGREGATE(15,6,(ROW(MOVIMIENTOS!$P$5:$P$10004)-ROW(MOVIMIENTOS!$P$5)+1)/(((MOVIMIENTOS!$C$5:$C$10004="Ingreso")+(MOVIMIENTOS!$C$5:$C$10004="Venta"))*(MOVIMIENTOS!$P$5:$P$10004="Pendiente")),ROWS($A$5:A65))),"")</f>
        <v/>
      </c>
      <c r="C65">
        <f>IFERROR(INDEX(MOVIMIENTOS!$E$5:$E$10004,AGGREGATE(15,6,(ROW(MOVIMIENTOS!$P$5:$P$10004)-ROW(MOVIMIENTOS!$P$5)+1)/(((MOVIMIENTOS!$C$5:$C$10004="Ingreso")+(MOVIMIENTOS!$C$5:$C$10004="Venta"))*(MOVIMIENTOS!$P$5:$P$10004="Pendiente")),ROWS($A$5:A65))),"")</f>
        <v/>
      </c>
      <c r="D65">
        <f>IFERROR(INDEX(MOVIMIENTOS!$D$5:$D$10004,AGGREGATE(15,6,(ROW(MOVIMIENTOS!$P$5:$P$10004)-ROW(MOVIMIENTOS!$P$5)+1)/(((MOVIMIENTOS!$C$5:$C$10004="Ingreso")+(MOVIMIENTOS!$C$5:$C$10004="Venta"))*(MOVIMIENTOS!$P$5:$P$10004="Pendiente")),ROWS($A$5:A65))),"")</f>
        <v/>
      </c>
      <c r="E65">
        <f>IFERROR(INDEX(MOVIMIENTOS!$O$5:$O$10004,AGGREGATE(15,6,(ROW(MOVIMIENTOS!$P$5:$P$10004)-ROW(MOVIMIENTOS!$P$5)+1)/(((MOVIMIENTOS!$C$5:$C$10004="Ingreso")+(MOVIMIENTOS!$C$5:$C$10004="Venta"))*(MOVIMIENTOS!$P$5:$P$10004="Pendiente")),ROWS($A$5:A65))),"")</f>
        <v/>
      </c>
      <c r="F65">
        <f>IF(A65="","",MAX(0,TODAY()-B65))</f>
        <v/>
      </c>
      <c r="G65">
        <f>IFERROR(INDEX(MOVIMIENTOS!$P$5:$P$10004,AGGREGATE(15,6,(ROW(MOVIMIENTOS!$P$5:$P$10004)-ROW(MOVIMIENTOS!$P$5)+1)/(((MOVIMIENTOS!$C$5:$C$10004="Ingreso")+(MOVIMIENTOS!$C$5:$C$10004="Venta"))*(MOVIMIENTOS!$P$5:$P$10004="Pendiente")),ROWS($A$5:A65))),"")</f>
        <v/>
      </c>
    </row>
    <row r="66">
      <c r="A66">
        <f>IFERROR(INDEX(MOVIMIENTOS!$A$5:$A$10004,AGGREGATE(15,6,(ROW(MOVIMIENTOS!$P$5:$P$10004)-ROW(MOVIMIENTOS!$P$5)+1)/(((MOVIMIENTOS!$C$5:$C$10004="Ingreso")+(MOVIMIENTOS!$C$5:$C$10004="Venta"))*(MOVIMIENTOS!$P$5:$P$10004="Pendiente")),ROWS($A$5:A66))),"")</f>
        <v/>
      </c>
      <c r="B66">
        <f>IFERROR(INDEX(MOVIMIENTOS!$B$5:$B$10004,AGGREGATE(15,6,(ROW(MOVIMIENTOS!$P$5:$P$10004)-ROW(MOVIMIENTOS!$P$5)+1)/(((MOVIMIENTOS!$C$5:$C$10004="Ingreso")+(MOVIMIENTOS!$C$5:$C$10004="Venta"))*(MOVIMIENTOS!$P$5:$P$10004="Pendiente")),ROWS($A$5:A66))),"")</f>
        <v/>
      </c>
      <c r="C66">
        <f>IFERROR(INDEX(MOVIMIENTOS!$E$5:$E$10004,AGGREGATE(15,6,(ROW(MOVIMIENTOS!$P$5:$P$10004)-ROW(MOVIMIENTOS!$P$5)+1)/(((MOVIMIENTOS!$C$5:$C$10004="Ingreso")+(MOVIMIENTOS!$C$5:$C$10004="Venta"))*(MOVIMIENTOS!$P$5:$P$10004="Pendiente")),ROWS($A$5:A66))),"")</f>
        <v/>
      </c>
      <c r="D66">
        <f>IFERROR(INDEX(MOVIMIENTOS!$D$5:$D$10004,AGGREGATE(15,6,(ROW(MOVIMIENTOS!$P$5:$P$10004)-ROW(MOVIMIENTOS!$P$5)+1)/(((MOVIMIENTOS!$C$5:$C$10004="Ingreso")+(MOVIMIENTOS!$C$5:$C$10004="Venta"))*(MOVIMIENTOS!$P$5:$P$10004="Pendiente")),ROWS($A$5:A66))),"")</f>
        <v/>
      </c>
      <c r="E66">
        <f>IFERROR(INDEX(MOVIMIENTOS!$O$5:$O$10004,AGGREGATE(15,6,(ROW(MOVIMIENTOS!$P$5:$P$10004)-ROW(MOVIMIENTOS!$P$5)+1)/(((MOVIMIENTOS!$C$5:$C$10004="Ingreso")+(MOVIMIENTOS!$C$5:$C$10004="Venta"))*(MOVIMIENTOS!$P$5:$P$10004="Pendiente")),ROWS($A$5:A66))),"")</f>
        <v/>
      </c>
      <c r="F66">
        <f>IF(A66="","",MAX(0,TODAY()-B66))</f>
        <v/>
      </c>
      <c r="G66">
        <f>IFERROR(INDEX(MOVIMIENTOS!$P$5:$P$10004,AGGREGATE(15,6,(ROW(MOVIMIENTOS!$P$5:$P$10004)-ROW(MOVIMIENTOS!$P$5)+1)/(((MOVIMIENTOS!$C$5:$C$10004="Ingreso")+(MOVIMIENTOS!$C$5:$C$10004="Venta"))*(MOVIMIENTOS!$P$5:$P$10004="Pendiente")),ROWS($A$5:A66))),"")</f>
        <v/>
      </c>
    </row>
    <row r="67">
      <c r="A67">
        <f>IFERROR(INDEX(MOVIMIENTOS!$A$5:$A$10004,AGGREGATE(15,6,(ROW(MOVIMIENTOS!$P$5:$P$10004)-ROW(MOVIMIENTOS!$P$5)+1)/(((MOVIMIENTOS!$C$5:$C$10004="Ingreso")+(MOVIMIENTOS!$C$5:$C$10004="Venta"))*(MOVIMIENTOS!$P$5:$P$10004="Pendiente")),ROWS($A$5:A67))),"")</f>
        <v/>
      </c>
      <c r="B67">
        <f>IFERROR(INDEX(MOVIMIENTOS!$B$5:$B$10004,AGGREGATE(15,6,(ROW(MOVIMIENTOS!$P$5:$P$10004)-ROW(MOVIMIENTOS!$P$5)+1)/(((MOVIMIENTOS!$C$5:$C$10004="Ingreso")+(MOVIMIENTOS!$C$5:$C$10004="Venta"))*(MOVIMIENTOS!$P$5:$P$10004="Pendiente")),ROWS($A$5:A67))),"")</f>
        <v/>
      </c>
      <c r="C67">
        <f>IFERROR(INDEX(MOVIMIENTOS!$E$5:$E$10004,AGGREGATE(15,6,(ROW(MOVIMIENTOS!$P$5:$P$10004)-ROW(MOVIMIENTOS!$P$5)+1)/(((MOVIMIENTOS!$C$5:$C$10004="Ingreso")+(MOVIMIENTOS!$C$5:$C$10004="Venta"))*(MOVIMIENTOS!$P$5:$P$10004="Pendiente")),ROWS($A$5:A67))),"")</f>
        <v/>
      </c>
      <c r="D67">
        <f>IFERROR(INDEX(MOVIMIENTOS!$D$5:$D$10004,AGGREGATE(15,6,(ROW(MOVIMIENTOS!$P$5:$P$10004)-ROW(MOVIMIENTOS!$P$5)+1)/(((MOVIMIENTOS!$C$5:$C$10004="Ingreso")+(MOVIMIENTOS!$C$5:$C$10004="Venta"))*(MOVIMIENTOS!$P$5:$P$10004="Pendiente")),ROWS($A$5:A67))),"")</f>
        <v/>
      </c>
      <c r="E67">
        <f>IFERROR(INDEX(MOVIMIENTOS!$O$5:$O$10004,AGGREGATE(15,6,(ROW(MOVIMIENTOS!$P$5:$P$10004)-ROW(MOVIMIENTOS!$P$5)+1)/(((MOVIMIENTOS!$C$5:$C$10004="Ingreso")+(MOVIMIENTOS!$C$5:$C$10004="Venta"))*(MOVIMIENTOS!$P$5:$P$10004="Pendiente")),ROWS($A$5:A67))),"")</f>
        <v/>
      </c>
      <c r="F67">
        <f>IF(A67="","",MAX(0,TODAY()-B67))</f>
        <v/>
      </c>
      <c r="G67">
        <f>IFERROR(INDEX(MOVIMIENTOS!$P$5:$P$10004,AGGREGATE(15,6,(ROW(MOVIMIENTOS!$P$5:$P$10004)-ROW(MOVIMIENTOS!$P$5)+1)/(((MOVIMIENTOS!$C$5:$C$10004="Ingreso")+(MOVIMIENTOS!$C$5:$C$10004="Venta"))*(MOVIMIENTOS!$P$5:$P$10004="Pendiente")),ROWS($A$5:A67))),"")</f>
        <v/>
      </c>
    </row>
    <row r="68">
      <c r="A68">
        <f>IFERROR(INDEX(MOVIMIENTOS!$A$5:$A$10004,AGGREGATE(15,6,(ROW(MOVIMIENTOS!$P$5:$P$10004)-ROW(MOVIMIENTOS!$P$5)+1)/(((MOVIMIENTOS!$C$5:$C$10004="Ingreso")+(MOVIMIENTOS!$C$5:$C$10004="Venta"))*(MOVIMIENTOS!$P$5:$P$10004="Pendiente")),ROWS($A$5:A68))),"")</f>
        <v/>
      </c>
      <c r="B68">
        <f>IFERROR(INDEX(MOVIMIENTOS!$B$5:$B$10004,AGGREGATE(15,6,(ROW(MOVIMIENTOS!$P$5:$P$10004)-ROW(MOVIMIENTOS!$P$5)+1)/(((MOVIMIENTOS!$C$5:$C$10004="Ingreso")+(MOVIMIENTOS!$C$5:$C$10004="Venta"))*(MOVIMIENTOS!$P$5:$P$10004="Pendiente")),ROWS($A$5:A68))),"")</f>
        <v/>
      </c>
      <c r="C68">
        <f>IFERROR(INDEX(MOVIMIENTOS!$E$5:$E$10004,AGGREGATE(15,6,(ROW(MOVIMIENTOS!$P$5:$P$10004)-ROW(MOVIMIENTOS!$P$5)+1)/(((MOVIMIENTOS!$C$5:$C$10004="Ingreso")+(MOVIMIENTOS!$C$5:$C$10004="Venta"))*(MOVIMIENTOS!$P$5:$P$10004="Pendiente")),ROWS($A$5:A68))),"")</f>
        <v/>
      </c>
      <c r="D68">
        <f>IFERROR(INDEX(MOVIMIENTOS!$D$5:$D$10004,AGGREGATE(15,6,(ROW(MOVIMIENTOS!$P$5:$P$10004)-ROW(MOVIMIENTOS!$P$5)+1)/(((MOVIMIENTOS!$C$5:$C$10004="Ingreso")+(MOVIMIENTOS!$C$5:$C$10004="Venta"))*(MOVIMIENTOS!$P$5:$P$10004="Pendiente")),ROWS($A$5:A68))),"")</f>
        <v/>
      </c>
      <c r="E68">
        <f>IFERROR(INDEX(MOVIMIENTOS!$O$5:$O$10004,AGGREGATE(15,6,(ROW(MOVIMIENTOS!$P$5:$P$10004)-ROW(MOVIMIENTOS!$P$5)+1)/(((MOVIMIENTOS!$C$5:$C$10004="Ingreso")+(MOVIMIENTOS!$C$5:$C$10004="Venta"))*(MOVIMIENTOS!$P$5:$P$10004="Pendiente")),ROWS($A$5:A68))),"")</f>
        <v/>
      </c>
      <c r="F68">
        <f>IF(A68="","",MAX(0,TODAY()-B68))</f>
        <v/>
      </c>
      <c r="G68">
        <f>IFERROR(INDEX(MOVIMIENTOS!$P$5:$P$10004,AGGREGATE(15,6,(ROW(MOVIMIENTOS!$P$5:$P$10004)-ROW(MOVIMIENTOS!$P$5)+1)/(((MOVIMIENTOS!$C$5:$C$10004="Ingreso")+(MOVIMIENTOS!$C$5:$C$10004="Venta"))*(MOVIMIENTOS!$P$5:$P$10004="Pendiente")),ROWS($A$5:A68))),"")</f>
        <v/>
      </c>
    </row>
    <row r="69">
      <c r="A69">
        <f>IFERROR(INDEX(MOVIMIENTOS!$A$5:$A$10004,AGGREGATE(15,6,(ROW(MOVIMIENTOS!$P$5:$P$10004)-ROW(MOVIMIENTOS!$P$5)+1)/(((MOVIMIENTOS!$C$5:$C$10004="Ingreso")+(MOVIMIENTOS!$C$5:$C$10004="Venta"))*(MOVIMIENTOS!$P$5:$P$10004="Pendiente")),ROWS($A$5:A69))),"")</f>
        <v/>
      </c>
      <c r="B69">
        <f>IFERROR(INDEX(MOVIMIENTOS!$B$5:$B$10004,AGGREGATE(15,6,(ROW(MOVIMIENTOS!$P$5:$P$10004)-ROW(MOVIMIENTOS!$P$5)+1)/(((MOVIMIENTOS!$C$5:$C$10004="Ingreso")+(MOVIMIENTOS!$C$5:$C$10004="Venta"))*(MOVIMIENTOS!$P$5:$P$10004="Pendiente")),ROWS($A$5:A69))),"")</f>
        <v/>
      </c>
      <c r="C69">
        <f>IFERROR(INDEX(MOVIMIENTOS!$E$5:$E$10004,AGGREGATE(15,6,(ROW(MOVIMIENTOS!$P$5:$P$10004)-ROW(MOVIMIENTOS!$P$5)+1)/(((MOVIMIENTOS!$C$5:$C$10004="Ingreso")+(MOVIMIENTOS!$C$5:$C$10004="Venta"))*(MOVIMIENTOS!$P$5:$P$10004="Pendiente")),ROWS($A$5:A69))),"")</f>
        <v/>
      </c>
      <c r="D69">
        <f>IFERROR(INDEX(MOVIMIENTOS!$D$5:$D$10004,AGGREGATE(15,6,(ROW(MOVIMIENTOS!$P$5:$P$10004)-ROW(MOVIMIENTOS!$P$5)+1)/(((MOVIMIENTOS!$C$5:$C$10004="Ingreso")+(MOVIMIENTOS!$C$5:$C$10004="Venta"))*(MOVIMIENTOS!$P$5:$P$10004="Pendiente")),ROWS($A$5:A69))),"")</f>
        <v/>
      </c>
      <c r="E69">
        <f>IFERROR(INDEX(MOVIMIENTOS!$O$5:$O$10004,AGGREGATE(15,6,(ROW(MOVIMIENTOS!$P$5:$P$10004)-ROW(MOVIMIENTOS!$P$5)+1)/(((MOVIMIENTOS!$C$5:$C$10004="Ingreso")+(MOVIMIENTOS!$C$5:$C$10004="Venta"))*(MOVIMIENTOS!$P$5:$P$10004="Pendiente")),ROWS($A$5:A69))),"")</f>
        <v/>
      </c>
      <c r="F69">
        <f>IF(A69="","",MAX(0,TODAY()-B69))</f>
        <v/>
      </c>
      <c r="G69">
        <f>IFERROR(INDEX(MOVIMIENTOS!$P$5:$P$10004,AGGREGATE(15,6,(ROW(MOVIMIENTOS!$P$5:$P$10004)-ROW(MOVIMIENTOS!$P$5)+1)/(((MOVIMIENTOS!$C$5:$C$10004="Ingreso")+(MOVIMIENTOS!$C$5:$C$10004="Venta"))*(MOVIMIENTOS!$P$5:$P$10004="Pendiente")),ROWS($A$5:A69))),"")</f>
        <v/>
      </c>
    </row>
    <row r="70">
      <c r="A70">
        <f>IFERROR(INDEX(MOVIMIENTOS!$A$5:$A$10004,AGGREGATE(15,6,(ROW(MOVIMIENTOS!$P$5:$P$10004)-ROW(MOVIMIENTOS!$P$5)+1)/(((MOVIMIENTOS!$C$5:$C$10004="Ingreso")+(MOVIMIENTOS!$C$5:$C$10004="Venta"))*(MOVIMIENTOS!$P$5:$P$10004="Pendiente")),ROWS($A$5:A70))),"")</f>
        <v/>
      </c>
      <c r="B70">
        <f>IFERROR(INDEX(MOVIMIENTOS!$B$5:$B$10004,AGGREGATE(15,6,(ROW(MOVIMIENTOS!$P$5:$P$10004)-ROW(MOVIMIENTOS!$P$5)+1)/(((MOVIMIENTOS!$C$5:$C$10004="Ingreso")+(MOVIMIENTOS!$C$5:$C$10004="Venta"))*(MOVIMIENTOS!$P$5:$P$10004="Pendiente")),ROWS($A$5:A70))),"")</f>
        <v/>
      </c>
      <c r="C70">
        <f>IFERROR(INDEX(MOVIMIENTOS!$E$5:$E$10004,AGGREGATE(15,6,(ROW(MOVIMIENTOS!$P$5:$P$10004)-ROW(MOVIMIENTOS!$P$5)+1)/(((MOVIMIENTOS!$C$5:$C$10004="Ingreso")+(MOVIMIENTOS!$C$5:$C$10004="Venta"))*(MOVIMIENTOS!$P$5:$P$10004="Pendiente")),ROWS($A$5:A70))),"")</f>
        <v/>
      </c>
      <c r="D70">
        <f>IFERROR(INDEX(MOVIMIENTOS!$D$5:$D$10004,AGGREGATE(15,6,(ROW(MOVIMIENTOS!$P$5:$P$10004)-ROW(MOVIMIENTOS!$P$5)+1)/(((MOVIMIENTOS!$C$5:$C$10004="Ingreso")+(MOVIMIENTOS!$C$5:$C$10004="Venta"))*(MOVIMIENTOS!$P$5:$P$10004="Pendiente")),ROWS($A$5:A70))),"")</f>
        <v/>
      </c>
      <c r="E70">
        <f>IFERROR(INDEX(MOVIMIENTOS!$O$5:$O$10004,AGGREGATE(15,6,(ROW(MOVIMIENTOS!$P$5:$P$10004)-ROW(MOVIMIENTOS!$P$5)+1)/(((MOVIMIENTOS!$C$5:$C$10004="Ingreso")+(MOVIMIENTOS!$C$5:$C$10004="Venta"))*(MOVIMIENTOS!$P$5:$P$10004="Pendiente")),ROWS($A$5:A70))),"")</f>
        <v/>
      </c>
      <c r="F70">
        <f>IF(A70="","",MAX(0,TODAY()-B70))</f>
        <v/>
      </c>
      <c r="G70">
        <f>IFERROR(INDEX(MOVIMIENTOS!$P$5:$P$10004,AGGREGATE(15,6,(ROW(MOVIMIENTOS!$P$5:$P$10004)-ROW(MOVIMIENTOS!$P$5)+1)/(((MOVIMIENTOS!$C$5:$C$10004="Ingreso")+(MOVIMIENTOS!$C$5:$C$10004="Venta"))*(MOVIMIENTOS!$P$5:$P$10004="Pendiente")),ROWS($A$5:A70))),"")</f>
        <v/>
      </c>
    </row>
    <row r="71">
      <c r="A71">
        <f>IFERROR(INDEX(MOVIMIENTOS!$A$5:$A$10004,AGGREGATE(15,6,(ROW(MOVIMIENTOS!$P$5:$P$10004)-ROW(MOVIMIENTOS!$P$5)+1)/(((MOVIMIENTOS!$C$5:$C$10004="Ingreso")+(MOVIMIENTOS!$C$5:$C$10004="Venta"))*(MOVIMIENTOS!$P$5:$P$10004="Pendiente")),ROWS($A$5:A71))),"")</f>
        <v/>
      </c>
      <c r="B71">
        <f>IFERROR(INDEX(MOVIMIENTOS!$B$5:$B$10004,AGGREGATE(15,6,(ROW(MOVIMIENTOS!$P$5:$P$10004)-ROW(MOVIMIENTOS!$P$5)+1)/(((MOVIMIENTOS!$C$5:$C$10004="Ingreso")+(MOVIMIENTOS!$C$5:$C$10004="Venta"))*(MOVIMIENTOS!$P$5:$P$10004="Pendiente")),ROWS($A$5:A71))),"")</f>
        <v/>
      </c>
      <c r="C71">
        <f>IFERROR(INDEX(MOVIMIENTOS!$E$5:$E$10004,AGGREGATE(15,6,(ROW(MOVIMIENTOS!$P$5:$P$10004)-ROW(MOVIMIENTOS!$P$5)+1)/(((MOVIMIENTOS!$C$5:$C$10004="Ingreso")+(MOVIMIENTOS!$C$5:$C$10004="Venta"))*(MOVIMIENTOS!$P$5:$P$10004="Pendiente")),ROWS($A$5:A71))),"")</f>
        <v/>
      </c>
      <c r="D71">
        <f>IFERROR(INDEX(MOVIMIENTOS!$D$5:$D$10004,AGGREGATE(15,6,(ROW(MOVIMIENTOS!$P$5:$P$10004)-ROW(MOVIMIENTOS!$P$5)+1)/(((MOVIMIENTOS!$C$5:$C$10004="Ingreso")+(MOVIMIENTOS!$C$5:$C$10004="Venta"))*(MOVIMIENTOS!$P$5:$P$10004="Pendiente")),ROWS($A$5:A71))),"")</f>
        <v/>
      </c>
      <c r="E71">
        <f>IFERROR(INDEX(MOVIMIENTOS!$O$5:$O$10004,AGGREGATE(15,6,(ROW(MOVIMIENTOS!$P$5:$P$10004)-ROW(MOVIMIENTOS!$P$5)+1)/(((MOVIMIENTOS!$C$5:$C$10004="Ingreso")+(MOVIMIENTOS!$C$5:$C$10004="Venta"))*(MOVIMIENTOS!$P$5:$P$10004="Pendiente")),ROWS($A$5:A71))),"")</f>
        <v/>
      </c>
      <c r="F71">
        <f>IF(A71="","",MAX(0,TODAY()-B71))</f>
        <v/>
      </c>
      <c r="G71">
        <f>IFERROR(INDEX(MOVIMIENTOS!$P$5:$P$10004,AGGREGATE(15,6,(ROW(MOVIMIENTOS!$P$5:$P$10004)-ROW(MOVIMIENTOS!$P$5)+1)/(((MOVIMIENTOS!$C$5:$C$10004="Ingreso")+(MOVIMIENTOS!$C$5:$C$10004="Venta"))*(MOVIMIENTOS!$P$5:$P$10004="Pendiente")),ROWS($A$5:A71))),"")</f>
        <v/>
      </c>
    </row>
    <row r="72">
      <c r="A72">
        <f>IFERROR(INDEX(MOVIMIENTOS!$A$5:$A$10004,AGGREGATE(15,6,(ROW(MOVIMIENTOS!$P$5:$P$10004)-ROW(MOVIMIENTOS!$P$5)+1)/(((MOVIMIENTOS!$C$5:$C$10004="Ingreso")+(MOVIMIENTOS!$C$5:$C$10004="Venta"))*(MOVIMIENTOS!$P$5:$P$10004="Pendiente")),ROWS($A$5:A72))),"")</f>
        <v/>
      </c>
      <c r="B72">
        <f>IFERROR(INDEX(MOVIMIENTOS!$B$5:$B$10004,AGGREGATE(15,6,(ROW(MOVIMIENTOS!$P$5:$P$10004)-ROW(MOVIMIENTOS!$P$5)+1)/(((MOVIMIENTOS!$C$5:$C$10004="Ingreso")+(MOVIMIENTOS!$C$5:$C$10004="Venta"))*(MOVIMIENTOS!$P$5:$P$10004="Pendiente")),ROWS($A$5:A72))),"")</f>
        <v/>
      </c>
      <c r="C72">
        <f>IFERROR(INDEX(MOVIMIENTOS!$E$5:$E$10004,AGGREGATE(15,6,(ROW(MOVIMIENTOS!$P$5:$P$10004)-ROW(MOVIMIENTOS!$P$5)+1)/(((MOVIMIENTOS!$C$5:$C$10004="Ingreso")+(MOVIMIENTOS!$C$5:$C$10004="Venta"))*(MOVIMIENTOS!$P$5:$P$10004="Pendiente")),ROWS($A$5:A72))),"")</f>
        <v/>
      </c>
      <c r="D72">
        <f>IFERROR(INDEX(MOVIMIENTOS!$D$5:$D$10004,AGGREGATE(15,6,(ROW(MOVIMIENTOS!$P$5:$P$10004)-ROW(MOVIMIENTOS!$P$5)+1)/(((MOVIMIENTOS!$C$5:$C$10004="Ingreso")+(MOVIMIENTOS!$C$5:$C$10004="Venta"))*(MOVIMIENTOS!$P$5:$P$10004="Pendiente")),ROWS($A$5:A72))),"")</f>
        <v/>
      </c>
      <c r="E72">
        <f>IFERROR(INDEX(MOVIMIENTOS!$O$5:$O$10004,AGGREGATE(15,6,(ROW(MOVIMIENTOS!$P$5:$P$10004)-ROW(MOVIMIENTOS!$P$5)+1)/(((MOVIMIENTOS!$C$5:$C$10004="Ingreso")+(MOVIMIENTOS!$C$5:$C$10004="Venta"))*(MOVIMIENTOS!$P$5:$P$10004="Pendiente")),ROWS($A$5:A72))),"")</f>
        <v/>
      </c>
      <c r="F72">
        <f>IF(A72="","",MAX(0,TODAY()-B72))</f>
        <v/>
      </c>
      <c r="G72">
        <f>IFERROR(INDEX(MOVIMIENTOS!$P$5:$P$10004,AGGREGATE(15,6,(ROW(MOVIMIENTOS!$P$5:$P$10004)-ROW(MOVIMIENTOS!$P$5)+1)/(((MOVIMIENTOS!$C$5:$C$10004="Ingreso")+(MOVIMIENTOS!$C$5:$C$10004="Venta"))*(MOVIMIENTOS!$P$5:$P$10004="Pendiente")),ROWS($A$5:A72))),"")</f>
        <v/>
      </c>
    </row>
    <row r="73">
      <c r="A73">
        <f>IFERROR(INDEX(MOVIMIENTOS!$A$5:$A$10004,AGGREGATE(15,6,(ROW(MOVIMIENTOS!$P$5:$P$10004)-ROW(MOVIMIENTOS!$P$5)+1)/(((MOVIMIENTOS!$C$5:$C$10004="Ingreso")+(MOVIMIENTOS!$C$5:$C$10004="Venta"))*(MOVIMIENTOS!$P$5:$P$10004="Pendiente")),ROWS($A$5:A73))),"")</f>
        <v/>
      </c>
      <c r="B73">
        <f>IFERROR(INDEX(MOVIMIENTOS!$B$5:$B$10004,AGGREGATE(15,6,(ROW(MOVIMIENTOS!$P$5:$P$10004)-ROW(MOVIMIENTOS!$P$5)+1)/(((MOVIMIENTOS!$C$5:$C$10004="Ingreso")+(MOVIMIENTOS!$C$5:$C$10004="Venta"))*(MOVIMIENTOS!$P$5:$P$10004="Pendiente")),ROWS($A$5:A73))),"")</f>
        <v/>
      </c>
      <c r="C73">
        <f>IFERROR(INDEX(MOVIMIENTOS!$E$5:$E$10004,AGGREGATE(15,6,(ROW(MOVIMIENTOS!$P$5:$P$10004)-ROW(MOVIMIENTOS!$P$5)+1)/(((MOVIMIENTOS!$C$5:$C$10004="Ingreso")+(MOVIMIENTOS!$C$5:$C$10004="Venta"))*(MOVIMIENTOS!$P$5:$P$10004="Pendiente")),ROWS($A$5:A73))),"")</f>
        <v/>
      </c>
      <c r="D73">
        <f>IFERROR(INDEX(MOVIMIENTOS!$D$5:$D$10004,AGGREGATE(15,6,(ROW(MOVIMIENTOS!$P$5:$P$10004)-ROW(MOVIMIENTOS!$P$5)+1)/(((MOVIMIENTOS!$C$5:$C$10004="Ingreso")+(MOVIMIENTOS!$C$5:$C$10004="Venta"))*(MOVIMIENTOS!$P$5:$P$10004="Pendiente")),ROWS($A$5:A73))),"")</f>
        <v/>
      </c>
      <c r="E73">
        <f>IFERROR(INDEX(MOVIMIENTOS!$O$5:$O$10004,AGGREGATE(15,6,(ROW(MOVIMIENTOS!$P$5:$P$10004)-ROW(MOVIMIENTOS!$P$5)+1)/(((MOVIMIENTOS!$C$5:$C$10004="Ingreso")+(MOVIMIENTOS!$C$5:$C$10004="Venta"))*(MOVIMIENTOS!$P$5:$P$10004="Pendiente")),ROWS($A$5:A73))),"")</f>
        <v/>
      </c>
      <c r="F73">
        <f>IF(A73="","",MAX(0,TODAY()-B73))</f>
        <v/>
      </c>
      <c r="G73">
        <f>IFERROR(INDEX(MOVIMIENTOS!$P$5:$P$10004,AGGREGATE(15,6,(ROW(MOVIMIENTOS!$P$5:$P$10004)-ROW(MOVIMIENTOS!$P$5)+1)/(((MOVIMIENTOS!$C$5:$C$10004="Ingreso")+(MOVIMIENTOS!$C$5:$C$10004="Venta"))*(MOVIMIENTOS!$P$5:$P$10004="Pendiente")),ROWS($A$5:A73))),"")</f>
        <v/>
      </c>
    </row>
    <row r="74">
      <c r="A74">
        <f>IFERROR(INDEX(MOVIMIENTOS!$A$5:$A$10004,AGGREGATE(15,6,(ROW(MOVIMIENTOS!$P$5:$P$10004)-ROW(MOVIMIENTOS!$P$5)+1)/(((MOVIMIENTOS!$C$5:$C$10004="Ingreso")+(MOVIMIENTOS!$C$5:$C$10004="Venta"))*(MOVIMIENTOS!$P$5:$P$10004="Pendiente")),ROWS($A$5:A74))),"")</f>
        <v/>
      </c>
      <c r="B74">
        <f>IFERROR(INDEX(MOVIMIENTOS!$B$5:$B$10004,AGGREGATE(15,6,(ROW(MOVIMIENTOS!$P$5:$P$10004)-ROW(MOVIMIENTOS!$P$5)+1)/(((MOVIMIENTOS!$C$5:$C$10004="Ingreso")+(MOVIMIENTOS!$C$5:$C$10004="Venta"))*(MOVIMIENTOS!$P$5:$P$10004="Pendiente")),ROWS($A$5:A74))),"")</f>
        <v/>
      </c>
      <c r="C74">
        <f>IFERROR(INDEX(MOVIMIENTOS!$E$5:$E$10004,AGGREGATE(15,6,(ROW(MOVIMIENTOS!$P$5:$P$10004)-ROW(MOVIMIENTOS!$P$5)+1)/(((MOVIMIENTOS!$C$5:$C$10004="Ingreso")+(MOVIMIENTOS!$C$5:$C$10004="Venta"))*(MOVIMIENTOS!$P$5:$P$10004="Pendiente")),ROWS($A$5:A74))),"")</f>
        <v/>
      </c>
      <c r="D74">
        <f>IFERROR(INDEX(MOVIMIENTOS!$D$5:$D$10004,AGGREGATE(15,6,(ROW(MOVIMIENTOS!$P$5:$P$10004)-ROW(MOVIMIENTOS!$P$5)+1)/(((MOVIMIENTOS!$C$5:$C$10004="Ingreso")+(MOVIMIENTOS!$C$5:$C$10004="Venta"))*(MOVIMIENTOS!$P$5:$P$10004="Pendiente")),ROWS($A$5:A74))),"")</f>
        <v/>
      </c>
      <c r="E74">
        <f>IFERROR(INDEX(MOVIMIENTOS!$O$5:$O$10004,AGGREGATE(15,6,(ROW(MOVIMIENTOS!$P$5:$P$10004)-ROW(MOVIMIENTOS!$P$5)+1)/(((MOVIMIENTOS!$C$5:$C$10004="Ingreso")+(MOVIMIENTOS!$C$5:$C$10004="Venta"))*(MOVIMIENTOS!$P$5:$P$10004="Pendiente")),ROWS($A$5:A74))),"")</f>
        <v/>
      </c>
      <c r="F74">
        <f>IF(A74="","",MAX(0,TODAY()-B74))</f>
        <v/>
      </c>
      <c r="G74">
        <f>IFERROR(INDEX(MOVIMIENTOS!$P$5:$P$10004,AGGREGATE(15,6,(ROW(MOVIMIENTOS!$P$5:$P$10004)-ROW(MOVIMIENTOS!$P$5)+1)/(((MOVIMIENTOS!$C$5:$C$10004="Ingreso")+(MOVIMIENTOS!$C$5:$C$10004="Venta"))*(MOVIMIENTOS!$P$5:$P$10004="Pendiente")),ROWS($A$5:A74))),"")</f>
        <v/>
      </c>
    </row>
    <row r="75">
      <c r="A75">
        <f>IFERROR(INDEX(MOVIMIENTOS!$A$5:$A$10004,AGGREGATE(15,6,(ROW(MOVIMIENTOS!$P$5:$P$10004)-ROW(MOVIMIENTOS!$P$5)+1)/(((MOVIMIENTOS!$C$5:$C$10004="Ingreso")+(MOVIMIENTOS!$C$5:$C$10004="Venta"))*(MOVIMIENTOS!$P$5:$P$10004="Pendiente")),ROWS($A$5:A75))),"")</f>
        <v/>
      </c>
      <c r="B75">
        <f>IFERROR(INDEX(MOVIMIENTOS!$B$5:$B$10004,AGGREGATE(15,6,(ROW(MOVIMIENTOS!$P$5:$P$10004)-ROW(MOVIMIENTOS!$P$5)+1)/(((MOVIMIENTOS!$C$5:$C$10004="Ingreso")+(MOVIMIENTOS!$C$5:$C$10004="Venta"))*(MOVIMIENTOS!$P$5:$P$10004="Pendiente")),ROWS($A$5:A75))),"")</f>
        <v/>
      </c>
      <c r="C75">
        <f>IFERROR(INDEX(MOVIMIENTOS!$E$5:$E$10004,AGGREGATE(15,6,(ROW(MOVIMIENTOS!$P$5:$P$10004)-ROW(MOVIMIENTOS!$P$5)+1)/(((MOVIMIENTOS!$C$5:$C$10004="Ingreso")+(MOVIMIENTOS!$C$5:$C$10004="Venta"))*(MOVIMIENTOS!$P$5:$P$10004="Pendiente")),ROWS($A$5:A75))),"")</f>
        <v/>
      </c>
      <c r="D75">
        <f>IFERROR(INDEX(MOVIMIENTOS!$D$5:$D$10004,AGGREGATE(15,6,(ROW(MOVIMIENTOS!$P$5:$P$10004)-ROW(MOVIMIENTOS!$P$5)+1)/(((MOVIMIENTOS!$C$5:$C$10004="Ingreso")+(MOVIMIENTOS!$C$5:$C$10004="Venta"))*(MOVIMIENTOS!$P$5:$P$10004="Pendiente")),ROWS($A$5:A75))),"")</f>
        <v/>
      </c>
      <c r="E75">
        <f>IFERROR(INDEX(MOVIMIENTOS!$O$5:$O$10004,AGGREGATE(15,6,(ROW(MOVIMIENTOS!$P$5:$P$10004)-ROW(MOVIMIENTOS!$P$5)+1)/(((MOVIMIENTOS!$C$5:$C$10004="Ingreso")+(MOVIMIENTOS!$C$5:$C$10004="Venta"))*(MOVIMIENTOS!$P$5:$P$10004="Pendiente")),ROWS($A$5:A75))),"")</f>
        <v/>
      </c>
      <c r="F75">
        <f>IF(A75="","",MAX(0,TODAY()-B75))</f>
        <v/>
      </c>
      <c r="G75">
        <f>IFERROR(INDEX(MOVIMIENTOS!$P$5:$P$10004,AGGREGATE(15,6,(ROW(MOVIMIENTOS!$P$5:$P$10004)-ROW(MOVIMIENTOS!$P$5)+1)/(((MOVIMIENTOS!$C$5:$C$10004="Ingreso")+(MOVIMIENTOS!$C$5:$C$10004="Venta"))*(MOVIMIENTOS!$P$5:$P$10004="Pendiente")),ROWS($A$5:A75))),"")</f>
        <v/>
      </c>
    </row>
    <row r="76">
      <c r="A76">
        <f>IFERROR(INDEX(MOVIMIENTOS!$A$5:$A$10004,AGGREGATE(15,6,(ROW(MOVIMIENTOS!$P$5:$P$10004)-ROW(MOVIMIENTOS!$P$5)+1)/(((MOVIMIENTOS!$C$5:$C$10004="Ingreso")+(MOVIMIENTOS!$C$5:$C$10004="Venta"))*(MOVIMIENTOS!$P$5:$P$10004="Pendiente")),ROWS($A$5:A76))),"")</f>
        <v/>
      </c>
      <c r="B76">
        <f>IFERROR(INDEX(MOVIMIENTOS!$B$5:$B$10004,AGGREGATE(15,6,(ROW(MOVIMIENTOS!$P$5:$P$10004)-ROW(MOVIMIENTOS!$P$5)+1)/(((MOVIMIENTOS!$C$5:$C$10004="Ingreso")+(MOVIMIENTOS!$C$5:$C$10004="Venta"))*(MOVIMIENTOS!$P$5:$P$10004="Pendiente")),ROWS($A$5:A76))),"")</f>
        <v/>
      </c>
      <c r="C76">
        <f>IFERROR(INDEX(MOVIMIENTOS!$E$5:$E$10004,AGGREGATE(15,6,(ROW(MOVIMIENTOS!$P$5:$P$10004)-ROW(MOVIMIENTOS!$P$5)+1)/(((MOVIMIENTOS!$C$5:$C$10004="Ingreso")+(MOVIMIENTOS!$C$5:$C$10004="Venta"))*(MOVIMIENTOS!$P$5:$P$10004="Pendiente")),ROWS($A$5:A76))),"")</f>
        <v/>
      </c>
      <c r="D76">
        <f>IFERROR(INDEX(MOVIMIENTOS!$D$5:$D$10004,AGGREGATE(15,6,(ROW(MOVIMIENTOS!$P$5:$P$10004)-ROW(MOVIMIENTOS!$P$5)+1)/(((MOVIMIENTOS!$C$5:$C$10004="Ingreso")+(MOVIMIENTOS!$C$5:$C$10004="Venta"))*(MOVIMIENTOS!$P$5:$P$10004="Pendiente")),ROWS($A$5:A76))),"")</f>
        <v/>
      </c>
      <c r="E76">
        <f>IFERROR(INDEX(MOVIMIENTOS!$O$5:$O$10004,AGGREGATE(15,6,(ROW(MOVIMIENTOS!$P$5:$P$10004)-ROW(MOVIMIENTOS!$P$5)+1)/(((MOVIMIENTOS!$C$5:$C$10004="Ingreso")+(MOVIMIENTOS!$C$5:$C$10004="Venta"))*(MOVIMIENTOS!$P$5:$P$10004="Pendiente")),ROWS($A$5:A76))),"")</f>
        <v/>
      </c>
      <c r="F76">
        <f>IF(A76="","",MAX(0,TODAY()-B76))</f>
        <v/>
      </c>
      <c r="G76">
        <f>IFERROR(INDEX(MOVIMIENTOS!$P$5:$P$10004,AGGREGATE(15,6,(ROW(MOVIMIENTOS!$P$5:$P$10004)-ROW(MOVIMIENTOS!$P$5)+1)/(((MOVIMIENTOS!$C$5:$C$10004="Ingreso")+(MOVIMIENTOS!$C$5:$C$10004="Venta"))*(MOVIMIENTOS!$P$5:$P$10004="Pendiente")),ROWS($A$5:A76))),"")</f>
        <v/>
      </c>
    </row>
    <row r="77">
      <c r="A77">
        <f>IFERROR(INDEX(MOVIMIENTOS!$A$5:$A$10004,AGGREGATE(15,6,(ROW(MOVIMIENTOS!$P$5:$P$10004)-ROW(MOVIMIENTOS!$P$5)+1)/(((MOVIMIENTOS!$C$5:$C$10004="Ingreso")+(MOVIMIENTOS!$C$5:$C$10004="Venta"))*(MOVIMIENTOS!$P$5:$P$10004="Pendiente")),ROWS($A$5:A77))),"")</f>
        <v/>
      </c>
      <c r="B77">
        <f>IFERROR(INDEX(MOVIMIENTOS!$B$5:$B$10004,AGGREGATE(15,6,(ROW(MOVIMIENTOS!$P$5:$P$10004)-ROW(MOVIMIENTOS!$P$5)+1)/(((MOVIMIENTOS!$C$5:$C$10004="Ingreso")+(MOVIMIENTOS!$C$5:$C$10004="Venta"))*(MOVIMIENTOS!$P$5:$P$10004="Pendiente")),ROWS($A$5:A77))),"")</f>
        <v/>
      </c>
      <c r="C77">
        <f>IFERROR(INDEX(MOVIMIENTOS!$E$5:$E$10004,AGGREGATE(15,6,(ROW(MOVIMIENTOS!$P$5:$P$10004)-ROW(MOVIMIENTOS!$P$5)+1)/(((MOVIMIENTOS!$C$5:$C$10004="Ingreso")+(MOVIMIENTOS!$C$5:$C$10004="Venta"))*(MOVIMIENTOS!$P$5:$P$10004="Pendiente")),ROWS($A$5:A77))),"")</f>
        <v/>
      </c>
      <c r="D77">
        <f>IFERROR(INDEX(MOVIMIENTOS!$D$5:$D$10004,AGGREGATE(15,6,(ROW(MOVIMIENTOS!$P$5:$P$10004)-ROW(MOVIMIENTOS!$P$5)+1)/(((MOVIMIENTOS!$C$5:$C$10004="Ingreso")+(MOVIMIENTOS!$C$5:$C$10004="Venta"))*(MOVIMIENTOS!$P$5:$P$10004="Pendiente")),ROWS($A$5:A77))),"")</f>
        <v/>
      </c>
      <c r="E77">
        <f>IFERROR(INDEX(MOVIMIENTOS!$O$5:$O$10004,AGGREGATE(15,6,(ROW(MOVIMIENTOS!$P$5:$P$10004)-ROW(MOVIMIENTOS!$P$5)+1)/(((MOVIMIENTOS!$C$5:$C$10004="Ingreso")+(MOVIMIENTOS!$C$5:$C$10004="Venta"))*(MOVIMIENTOS!$P$5:$P$10004="Pendiente")),ROWS($A$5:A77))),"")</f>
        <v/>
      </c>
      <c r="F77">
        <f>IF(A77="","",MAX(0,TODAY()-B77))</f>
        <v/>
      </c>
      <c r="G77">
        <f>IFERROR(INDEX(MOVIMIENTOS!$P$5:$P$10004,AGGREGATE(15,6,(ROW(MOVIMIENTOS!$P$5:$P$10004)-ROW(MOVIMIENTOS!$P$5)+1)/(((MOVIMIENTOS!$C$5:$C$10004="Ingreso")+(MOVIMIENTOS!$C$5:$C$10004="Venta"))*(MOVIMIENTOS!$P$5:$P$10004="Pendiente")),ROWS($A$5:A77))),"")</f>
        <v/>
      </c>
    </row>
    <row r="78">
      <c r="A78">
        <f>IFERROR(INDEX(MOVIMIENTOS!$A$5:$A$10004,AGGREGATE(15,6,(ROW(MOVIMIENTOS!$P$5:$P$10004)-ROW(MOVIMIENTOS!$P$5)+1)/(((MOVIMIENTOS!$C$5:$C$10004="Ingreso")+(MOVIMIENTOS!$C$5:$C$10004="Venta"))*(MOVIMIENTOS!$P$5:$P$10004="Pendiente")),ROWS($A$5:A78))),"")</f>
        <v/>
      </c>
      <c r="B78">
        <f>IFERROR(INDEX(MOVIMIENTOS!$B$5:$B$10004,AGGREGATE(15,6,(ROW(MOVIMIENTOS!$P$5:$P$10004)-ROW(MOVIMIENTOS!$P$5)+1)/(((MOVIMIENTOS!$C$5:$C$10004="Ingreso")+(MOVIMIENTOS!$C$5:$C$10004="Venta"))*(MOVIMIENTOS!$P$5:$P$10004="Pendiente")),ROWS($A$5:A78))),"")</f>
        <v/>
      </c>
      <c r="C78">
        <f>IFERROR(INDEX(MOVIMIENTOS!$E$5:$E$10004,AGGREGATE(15,6,(ROW(MOVIMIENTOS!$P$5:$P$10004)-ROW(MOVIMIENTOS!$P$5)+1)/(((MOVIMIENTOS!$C$5:$C$10004="Ingreso")+(MOVIMIENTOS!$C$5:$C$10004="Venta"))*(MOVIMIENTOS!$P$5:$P$10004="Pendiente")),ROWS($A$5:A78))),"")</f>
        <v/>
      </c>
      <c r="D78">
        <f>IFERROR(INDEX(MOVIMIENTOS!$D$5:$D$10004,AGGREGATE(15,6,(ROW(MOVIMIENTOS!$P$5:$P$10004)-ROW(MOVIMIENTOS!$P$5)+1)/(((MOVIMIENTOS!$C$5:$C$10004="Ingreso")+(MOVIMIENTOS!$C$5:$C$10004="Venta"))*(MOVIMIENTOS!$P$5:$P$10004="Pendiente")),ROWS($A$5:A78))),"")</f>
        <v/>
      </c>
      <c r="E78">
        <f>IFERROR(INDEX(MOVIMIENTOS!$O$5:$O$10004,AGGREGATE(15,6,(ROW(MOVIMIENTOS!$P$5:$P$10004)-ROW(MOVIMIENTOS!$P$5)+1)/(((MOVIMIENTOS!$C$5:$C$10004="Ingreso")+(MOVIMIENTOS!$C$5:$C$10004="Venta"))*(MOVIMIENTOS!$P$5:$P$10004="Pendiente")),ROWS($A$5:A78))),"")</f>
        <v/>
      </c>
      <c r="F78">
        <f>IF(A78="","",MAX(0,TODAY()-B78))</f>
        <v/>
      </c>
      <c r="G78">
        <f>IFERROR(INDEX(MOVIMIENTOS!$P$5:$P$10004,AGGREGATE(15,6,(ROW(MOVIMIENTOS!$P$5:$P$10004)-ROW(MOVIMIENTOS!$P$5)+1)/(((MOVIMIENTOS!$C$5:$C$10004="Ingreso")+(MOVIMIENTOS!$C$5:$C$10004="Venta"))*(MOVIMIENTOS!$P$5:$P$10004="Pendiente")),ROWS($A$5:A78))),"")</f>
        <v/>
      </c>
    </row>
    <row r="79">
      <c r="A79">
        <f>IFERROR(INDEX(MOVIMIENTOS!$A$5:$A$10004,AGGREGATE(15,6,(ROW(MOVIMIENTOS!$P$5:$P$10004)-ROW(MOVIMIENTOS!$P$5)+1)/(((MOVIMIENTOS!$C$5:$C$10004="Ingreso")+(MOVIMIENTOS!$C$5:$C$10004="Venta"))*(MOVIMIENTOS!$P$5:$P$10004="Pendiente")),ROWS($A$5:A79))),"")</f>
        <v/>
      </c>
      <c r="B79">
        <f>IFERROR(INDEX(MOVIMIENTOS!$B$5:$B$10004,AGGREGATE(15,6,(ROW(MOVIMIENTOS!$P$5:$P$10004)-ROW(MOVIMIENTOS!$P$5)+1)/(((MOVIMIENTOS!$C$5:$C$10004="Ingreso")+(MOVIMIENTOS!$C$5:$C$10004="Venta"))*(MOVIMIENTOS!$P$5:$P$10004="Pendiente")),ROWS($A$5:A79))),"")</f>
        <v/>
      </c>
      <c r="C79">
        <f>IFERROR(INDEX(MOVIMIENTOS!$E$5:$E$10004,AGGREGATE(15,6,(ROW(MOVIMIENTOS!$P$5:$P$10004)-ROW(MOVIMIENTOS!$P$5)+1)/(((MOVIMIENTOS!$C$5:$C$10004="Ingreso")+(MOVIMIENTOS!$C$5:$C$10004="Venta"))*(MOVIMIENTOS!$P$5:$P$10004="Pendiente")),ROWS($A$5:A79))),"")</f>
        <v/>
      </c>
      <c r="D79">
        <f>IFERROR(INDEX(MOVIMIENTOS!$D$5:$D$10004,AGGREGATE(15,6,(ROW(MOVIMIENTOS!$P$5:$P$10004)-ROW(MOVIMIENTOS!$P$5)+1)/(((MOVIMIENTOS!$C$5:$C$10004="Ingreso")+(MOVIMIENTOS!$C$5:$C$10004="Venta"))*(MOVIMIENTOS!$P$5:$P$10004="Pendiente")),ROWS($A$5:A79))),"")</f>
        <v/>
      </c>
      <c r="E79">
        <f>IFERROR(INDEX(MOVIMIENTOS!$O$5:$O$10004,AGGREGATE(15,6,(ROW(MOVIMIENTOS!$P$5:$P$10004)-ROW(MOVIMIENTOS!$P$5)+1)/(((MOVIMIENTOS!$C$5:$C$10004="Ingreso")+(MOVIMIENTOS!$C$5:$C$10004="Venta"))*(MOVIMIENTOS!$P$5:$P$10004="Pendiente")),ROWS($A$5:A79))),"")</f>
        <v/>
      </c>
      <c r="F79">
        <f>IF(A79="","",MAX(0,TODAY()-B79))</f>
        <v/>
      </c>
      <c r="G79">
        <f>IFERROR(INDEX(MOVIMIENTOS!$P$5:$P$10004,AGGREGATE(15,6,(ROW(MOVIMIENTOS!$P$5:$P$10004)-ROW(MOVIMIENTOS!$P$5)+1)/(((MOVIMIENTOS!$C$5:$C$10004="Ingreso")+(MOVIMIENTOS!$C$5:$C$10004="Venta"))*(MOVIMIENTOS!$P$5:$P$10004="Pendiente")),ROWS($A$5:A79))),"")</f>
        <v/>
      </c>
    </row>
    <row r="80">
      <c r="A80">
        <f>IFERROR(INDEX(MOVIMIENTOS!$A$5:$A$10004,AGGREGATE(15,6,(ROW(MOVIMIENTOS!$P$5:$P$10004)-ROW(MOVIMIENTOS!$P$5)+1)/(((MOVIMIENTOS!$C$5:$C$10004="Ingreso")+(MOVIMIENTOS!$C$5:$C$10004="Venta"))*(MOVIMIENTOS!$P$5:$P$10004="Pendiente")),ROWS($A$5:A80))),"")</f>
        <v/>
      </c>
      <c r="B80">
        <f>IFERROR(INDEX(MOVIMIENTOS!$B$5:$B$10004,AGGREGATE(15,6,(ROW(MOVIMIENTOS!$P$5:$P$10004)-ROW(MOVIMIENTOS!$P$5)+1)/(((MOVIMIENTOS!$C$5:$C$10004="Ingreso")+(MOVIMIENTOS!$C$5:$C$10004="Venta"))*(MOVIMIENTOS!$P$5:$P$10004="Pendiente")),ROWS($A$5:A80))),"")</f>
        <v/>
      </c>
      <c r="C80">
        <f>IFERROR(INDEX(MOVIMIENTOS!$E$5:$E$10004,AGGREGATE(15,6,(ROW(MOVIMIENTOS!$P$5:$P$10004)-ROW(MOVIMIENTOS!$P$5)+1)/(((MOVIMIENTOS!$C$5:$C$10004="Ingreso")+(MOVIMIENTOS!$C$5:$C$10004="Venta"))*(MOVIMIENTOS!$P$5:$P$10004="Pendiente")),ROWS($A$5:A80))),"")</f>
        <v/>
      </c>
      <c r="D80">
        <f>IFERROR(INDEX(MOVIMIENTOS!$D$5:$D$10004,AGGREGATE(15,6,(ROW(MOVIMIENTOS!$P$5:$P$10004)-ROW(MOVIMIENTOS!$P$5)+1)/(((MOVIMIENTOS!$C$5:$C$10004="Ingreso")+(MOVIMIENTOS!$C$5:$C$10004="Venta"))*(MOVIMIENTOS!$P$5:$P$10004="Pendiente")),ROWS($A$5:A80))),"")</f>
        <v/>
      </c>
      <c r="E80">
        <f>IFERROR(INDEX(MOVIMIENTOS!$O$5:$O$10004,AGGREGATE(15,6,(ROW(MOVIMIENTOS!$P$5:$P$10004)-ROW(MOVIMIENTOS!$P$5)+1)/(((MOVIMIENTOS!$C$5:$C$10004="Ingreso")+(MOVIMIENTOS!$C$5:$C$10004="Venta"))*(MOVIMIENTOS!$P$5:$P$10004="Pendiente")),ROWS($A$5:A80))),"")</f>
        <v/>
      </c>
      <c r="F80">
        <f>IF(A80="","",MAX(0,TODAY()-B80))</f>
        <v/>
      </c>
      <c r="G80">
        <f>IFERROR(INDEX(MOVIMIENTOS!$P$5:$P$10004,AGGREGATE(15,6,(ROW(MOVIMIENTOS!$P$5:$P$10004)-ROW(MOVIMIENTOS!$P$5)+1)/(((MOVIMIENTOS!$C$5:$C$10004="Ingreso")+(MOVIMIENTOS!$C$5:$C$10004="Venta"))*(MOVIMIENTOS!$P$5:$P$10004="Pendiente")),ROWS($A$5:A80))),"")</f>
        <v/>
      </c>
    </row>
    <row r="81">
      <c r="A81">
        <f>IFERROR(INDEX(MOVIMIENTOS!$A$5:$A$10004,AGGREGATE(15,6,(ROW(MOVIMIENTOS!$P$5:$P$10004)-ROW(MOVIMIENTOS!$P$5)+1)/(((MOVIMIENTOS!$C$5:$C$10004="Ingreso")+(MOVIMIENTOS!$C$5:$C$10004="Venta"))*(MOVIMIENTOS!$P$5:$P$10004="Pendiente")),ROWS($A$5:A81))),"")</f>
        <v/>
      </c>
      <c r="B81">
        <f>IFERROR(INDEX(MOVIMIENTOS!$B$5:$B$10004,AGGREGATE(15,6,(ROW(MOVIMIENTOS!$P$5:$P$10004)-ROW(MOVIMIENTOS!$P$5)+1)/(((MOVIMIENTOS!$C$5:$C$10004="Ingreso")+(MOVIMIENTOS!$C$5:$C$10004="Venta"))*(MOVIMIENTOS!$P$5:$P$10004="Pendiente")),ROWS($A$5:A81))),"")</f>
        <v/>
      </c>
      <c r="C81">
        <f>IFERROR(INDEX(MOVIMIENTOS!$E$5:$E$10004,AGGREGATE(15,6,(ROW(MOVIMIENTOS!$P$5:$P$10004)-ROW(MOVIMIENTOS!$P$5)+1)/(((MOVIMIENTOS!$C$5:$C$10004="Ingreso")+(MOVIMIENTOS!$C$5:$C$10004="Venta"))*(MOVIMIENTOS!$P$5:$P$10004="Pendiente")),ROWS($A$5:A81))),"")</f>
        <v/>
      </c>
      <c r="D81">
        <f>IFERROR(INDEX(MOVIMIENTOS!$D$5:$D$10004,AGGREGATE(15,6,(ROW(MOVIMIENTOS!$P$5:$P$10004)-ROW(MOVIMIENTOS!$P$5)+1)/(((MOVIMIENTOS!$C$5:$C$10004="Ingreso")+(MOVIMIENTOS!$C$5:$C$10004="Venta"))*(MOVIMIENTOS!$P$5:$P$10004="Pendiente")),ROWS($A$5:A81))),"")</f>
        <v/>
      </c>
      <c r="E81">
        <f>IFERROR(INDEX(MOVIMIENTOS!$O$5:$O$10004,AGGREGATE(15,6,(ROW(MOVIMIENTOS!$P$5:$P$10004)-ROW(MOVIMIENTOS!$P$5)+1)/(((MOVIMIENTOS!$C$5:$C$10004="Ingreso")+(MOVIMIENTOS!$C$5:$C$10004="Venta"))*(MOVIMIENTOS!$P$5:$P$10004="Pendiente")),ROWS($A$5:A81))),"")</f>
        <v/>
      </c>
      <c r="F81">
        <f>IF(A81="","",MAX(0,TODAY()-B81))</f>
        <v/>
      </c>
      <c r="G81">
        <f>IFERROR(INDEX(MOVIMIENTOS!$P$5:$P$10004,AGGREGATE(15,6,(ROW(MOVIMIENTOS!$P$5:$P$10004)-ROW(MOVIMIENTOS!$P$5)+1)/(((MOVIMIENTOS!$C$5:$C$10004="Ingreso")+(MOVIMIENTOS!$C$5:$C$10004="Venta"))*(MOVIMIENTOS!$P$5:$P$10004="Pendiente")),ROWS($A$5:A81))),"")</f>
        <v/>
      </c>
    </row>
    <row r="82">
      <c r="A82">
        <f>IFERROR(INDEX(MOVIMIENTOS!$A$5:$A$10004,AGGREGATE(15,6,(ROW(MOVIMIENTOS!$P$5:$P$10004)-ROW(MOVIMIENTOS!$P$5)+1)/(((MOVIMIENTOS!$C$5:$C$10004="Ingreso")+(MOVIMIENTOS!$C$5:$C$10004="Venta"))*(MOVIMIENTOS!$P$5:$P$10004="Pendiente")),ROWS($A$5:A82))),"")</f>
        <v/>
      </c>
      <c r="B82">
        <f>IFERROR(INDEX(MOVIMIENTOS!$B$5:$B$10004,AGGREGATE(15,6,(ROW(MOVIMIENTOS!$P$5:$P$10004)-ROW(MOVIMIENTOS!$P$5)+1)/(((MOVIMIENTOS!$C$5:$C$10004="Ingreso")+(MOVIMIENTOS!$C$5:$C$10004="Venta"))*(MOVIMIENTOS!$P$5:$P$10004="Pendiente")),ROWS($A$5:A82))),"")</f>
        <v/>
      </c>
      <c r="C82">
        <f>IFERROR(INDEX(MOVIMIENTOS!$E$5:$E$10004,AGGREGATE(15,6,(ROW(MOVIMIENTOS!$P$5:$P$10004)-ROW(MOVIMIENTOS!$P$5)+1)/(((MOVIMIENTOS!$C$5:$C$10004="Ingreso")+(MOVIMIENTOS!$C$5:$C$10004="Venta"))*(MOVIMIENTOS!$P$5:$P$10004="Pendiente")),ROWS($A$5:A82))),"")</f>
        <v/>
      </c>
      <c r="D82">
        <f>IFERROR(INDEX(MOVIMIENTOS!$D$5:$D$10004,AGGREGATE(15,6,(ROW(MOVIMIENTOS!$P$5:$P$10004)-ROW(MOVIMIENTOS!$P$5)+1)/(((MOVIMIENTOS!$C$5:$C$10004="Ingreso")+(MOVIMIENTOS!$C$5:$C$10004="Venta"))*(MOVIMIENTOS!$P$5:$P$10004="Pendiente")),ROWS($A$5:A82))),"")</f>
        <v/>
      </c>
      <c r="E82">
        <f>IFERROR(INDEX(MOVIMIENTOS!$O$5:$O$10004,AGGREGATE(15,6,(ROW(MOVIMIENTOS!$P$5:$P$10004)-ROW(MOVIMIENTOS!$P$5)+1)/(((MOVIMIENTOS!$C$5:$C$10004="Ingreso")+(MOVIMIENTOS!$C$5:$C$10004="Venta"))*(MOVIMIENTOS!$P$5:$P$10004="Pendiente")),ROWS($A$5:A82))),"")</f>
        <v/>
      </c>
      <c r="F82">
        <f>IF(A82="","",MAX(0,TODAY()-B82))</f>
        <v/>
      </c>
      <c r="G82">
        <f>IFERROR(INDEX(MOVIMIENTOS!$P$5:$P$10004,AGGREGATE(15,6,(ROW(MOVIMIENTOS!$P$5:$P$10004)-ROW(MOVIMIENTOS!$P$5)+1)/(((MOVIMIENTOS!$C$5:$C$10004="Ingreso")+(MOVIMIENTOS!$C$5:$C$10004="Venta"))*(MOVIMIENTOS!$P$5:$P$10004="Pendiente")),ROWS($A$5:A82))),"")</f>
        <v/>
      </c>
    </row>
    <row r="83">
      <c r="A83">
        <f>IFERROR(INDEX(MOVIMIENTOS!$A$5:$A$10004,AGGREGATE(15,6,(ROW(MOVIMIENTOS!$P$5:$P$10004)-ROW(MOVIMIENTOS!$P$5)+1)/(((MOVIMIENTOS!$C$5:$C$10004="Ingreso")+(MOVIMIENTOS!$C$5:$C$10004="Venta"))*(MOVIMIENTOS!$P$5:$P$10004="Pendiente")),ROWS($A$5:A83))),"")</f>
        <v/>
      </c>
      <c r="B83">
        <f>IFERROR(INDEX(MOVIMIENTOS!$B$5:$B$10004,AGGREGATE(15,6,(ROW(MOVIMIENTOS!$P$5:$P$10004)-ROW(MOVIMIENTOS!$P$5)+1)/(((MOVIMIENTOS!$C$5:$C$10004="Ingreso")+(MOVIMIENTOS!$C$5:$C$10004="Venta"))*(MOVIMIENTOS!$P$5:$P$10004="Pendiente")),ROWS($A$5:A83))),"")</f>
        <v/>
      </c>
      <c r="C83">
        <f>IFERROR(INDEX(MOVIMIENTOS!$E$5:$E$10004,AGGREGATE(15,6,(ROW(MOVIMIENTOS!$P$5:$P$10004)-ROW(MOVIMIENTOS!$P$5)+1)/(((MOVIMIENTOS!$C$5:$C$10004="Ingreso")+(MOVIMIENTOS!$C$5:$C$10004="Venta"))*(MOVIMIENTOS!$P$5:$P$10004="Pendiente")),ROWS($A$5:A83))),"")</f>
        <v/>
      </c>
      <c r="D83">
        <f>IFERROR(INDEX(MOVIMIENTOS!$D$5:$D$10004,AGGREGATE(15,6,(ROW(MOVIMIENTOS!$P$5:$P$10004)-ROW(MOVIMIENTOS!$P$5)+1)/(((MOVIMIENTOS!$C$5:$C$10004="Ingreso")+(MOVIMIENTOS!$C$5:$C$10004="Venta"))*(MOVIMIENTOS!$P$5:$P$10004="Pendiente")),ROWS($A$5:A83))),"")</f>
        <v/>
      </c>
      <c r="E83">
        <f>IFERROR(INDEX(MOVIMIENTOS!$O$5:$O$10004,AGGREGATE(15,6,(ROW(MOVIMIENTOS!$P$5:$P$10004)-ROW(MOVIMIENTOS!$P$5)+1)/(((MOVIMIENTOS!$C$5:$C$10004="Ingreso")+(MOVIMIENTOS!$C$5:$C$10004="Venta"))*(MOVIMIENTOS!$P$5:$P$10004="Pendiente")),ROWS($A$5:A83))),"")</f>
        <v/>
      </c>
      <c r="F83">
        <f>IF(A83="","",MAX(0,TODAY()-B83))</f>
        <v/>
      </c>
      <c r="G83">
        <f>IFERROR(INDEX(MOVIMIENTOS!$P$5:$P$10004,AGGREGATE(15,6,(ROW(MOVIMIENTOS!$P$5:$P$10004)-ROW(MOVIMIENTOS!$P$5)+1)/(((MOVIMIENTOS!$C$5:$C$10004="Ingreso")+(MOVIMIENTOS!$C$5:$C$10004="Venta"))*(MOVIMIENTOS!$P$5:$P$10004="Pendiente")),ROWS($A$5:A83))),"")</f>
        <v/>
      </c>
    </row>
    <row r="84">
      <c r="A84">
        <f>IFERROR(INDEX(MOVIMIENTOS!$A$5:$A$10004,AGGREGATE(15,6,(ROW(MOVIMIENTOS!$P$5:$P$10004)-ROW(MOVIMIENTOS!$P$5)+1)/(((MOVIMIENTOS!$C$5:$C$10004="Ingreso")+(MOVIMIENTOS!$C$5:$C$10004="Venta"))*(MOVIMIENTOS!$P$5:$P$10004="Pendiente")),ROWS($A$5:A84))),"")</f>
        <v/>
      </c>
      <c r="B84">
        <f>IFERROR(INDEX(MOVIMIENTOS!$B$5:$B$10004,AGGREGATE(15,6,(ROW(MOVIMIENTOS!$P$5:$P$10004)-ROW(MOVIMIENTOS!$P$5)+1)/(((MOVIMIENTOS!$C$5:$C$10004="Ingreso")+(MOVIMIENTOS!$C$5:$C$10004="Venta"))*(MOVIMIENTOS!$P$5:$P$10004="Pendiente")),ROWS($A$5:A84))),"")</f>
        <v/>
      </c>
      <c r="C84">
        <f>IFERROR(INDEX(MOVIMIENTOS!$E$5:$E$10004,AGGREGATE(15,6,(ROW(MOVIMIENTOS!$P$5:$P$10004)-ROW(MOVIMIENTOS!$P$5)+1)/(((MOVIMIENTOS!$C$5:$C$10004="Ingreso")+(MOVIMIENTOS!$C$5:$C$10004="Venta"))*(MOVIMIENTOS!$P$5:$P$10004="Pendiente")),ROWS($A$5:A84))),"")</f>
        <v/>
      </c>
      <c r="D84">
        <f>IFERROR(INDEX(MOVIMIENTOS!$D$5:$D$10004,AGGREGATE(15,6,(ROW(MOVIMIENTOS!$P$5:$P$10004)-ROW(MOVIMIENTOS!$P$5)+1)/(((MOVIMIENTOS!$C$5:$C$10004="Ingreso")+(MOVIMIENTOS!$C$5:$C$10004="Venta"))*(MOVIMIENTOS!$P$5:$P$10004="Pendiente")),ROWS($A$5:A84))),"")</f>
        <v/>
      </c>
      <c r="E84">
        <f>IFERROR(INDEX(MOVIMIENTOS!$O$5:$O$10004,AGGREGATE(15,6,(ROW(MOVIMIENTOS!$P$5:$P$10004)-ROW(MOVIMIENTOS!$P$5)+1)/(((MOVIMIENTOS!$C$5:$C$10004="Ingreso")+(MOVIMIENTOS!$C$5:$C$10004="Venta"))*(MOVIMIENTOS!$P$5:$P$10004="Pendiente")),ROWS($A$5:A84))),"")</f>
        <v/>
      </c>
      <c r="F84">
        <f>IF(A84="","",MAX(0,TODAY()-B84))</f>
        <v/>
      </c>
      <c r="G84">
        <f>IFERROR(INDEX(MOVIMIENTOS!$P$5:$P$10004,AGGREGATE(15,6,(ROW(MOVIMIENTOS!$P$5:$P$10004)-ROW(MOVIMIENTOS!$P$5)+1)/(((MOVIMIENTOS!$C$5:$C$10004="Ingreso")+(MOVIMIENTOS!$C$5:$C$10004="Venta"))*(MOVIMIENTOS!$P$5:$P$10004="Pendiente")),ROWS($A$5:A84))),"")</f>
        <v/>
      </c>
    </row>
    <row r="85">
      <c r="A85">
        <f>IFERROR(INDEX(MOVIMIENTOS!$A$5:$A$10004,AGGREGATE(15,6,(ROW(MOVIMIENTOS!$P$5:$P$10004)-ROW(MOVIMIENTOS!$P$5)+1)/(((MOVIMIENTOS!$C$5:$C$10004="Ingreso")+(MOVIMIENTOS!$C$5:$C$10004="Venta"))*(MOVIMIENTOS!$P$5:$P$10004="Pendiente")),ROWS($A$5:A85))),"")</f>
        <v/>
      </c>
      <c r="B85">
        <f>IFERROR(INDEX(MOVIMIENTOS!$B$5:$B$10004,AGGREGATE(15,6,(ROW(MOVIMIENTOS!$P$5:$P$10004)-ROW(MOVIMIENTOS!$P$5)+1)/(((MOVIMIENTOS!$C$5:$C$10004="Ingreso")+(MOVIMIENTOS!$C$5:$C$10004="Venta"))*(MOVIMIENTOS!$P$5:$P$10004="Pendiente")),ROWS($A$5:A85))),"")</f>
        <v/>
      </c>
      <c r="C85">
        <f>IFERROR(INDEX(MOVIMIENTOS!$E$5:$E$10004,AGGREGATE(15,6,(ROW(MOVIMIENTOS!$P$5:$P$10004)-ROW(MOVIMIENTOS!$P$5)+1)/(((MOVIMIENTOS!$C$5:$C$10004="Ingreso")+(MOVIMIENTOS!$C$5:$C$10004="Venta"))*(MOVIMIENTOS!$P$5:$P$10004="Pendiente")),ROWS($A$5:A85))),"")</f>
        <v/>
      </c>
      <c r="D85">
        <f>IFERROR(INDEX(MOVIMIENTOS!$D$5:$D$10004,AGGREGATE(15,6,(ROW(MOVIMIENTOS!$P$5:$P$10004)-ROW(MOVIMIENTOS!$P$5)+1)/(((MOVIMIENTOS!$C$5:$C$10004="Ingreso")+(MOVIMIENTOS!$C$5:$C$10004="Venta"))*(MOVIMIENTOS!$P$5:$P$10004="Pendiente")),ROWS($A$5:A85))),"")</f>
        <v/>
      </c>
      <c r="E85">
        <f>IFERROR(INDEX(MOVIMIENTOS!$O$5:$O$10004,AGGREGATE(15,6,(ROW(MOVIMIENTOS!$P$5:$P$10004)-ROW(MOVIMIENTOS!$P$5)+1)/(((MOVIMIENTOS!$C$5:$C$10004="Ingreso")+(MOVIMIENTOS!$C$5:$C$10004="Venta"))*(MOVIMIENTOS!$P$5:$P$10004="Pendiente")),ROWS($A$5:A85))),"")</f>
        <v/>
      </c>
      <c r="F85">
        <f>IF(A85="","",MAX(0,TODAY()-B85))</f>
        <v/>
      </c>
      <c r="G85">
        <f>IFERROR(INDEX(MOVIMIENTOS!$P$5:$P$10004,AGGREGATE(15,6,(ROW(MOVIMIENTOS!$P$5:$P$10004)-ROW(MOVIMIENTOS!$P$5)+1)/(((MOVIMIENTOS!$C$5:$C$10004="Ingreso")+(MOVIMIENTOS!$C$5:$C$10004="Venta"))*(MOVIMIENTOS!$P$5:$P$10004="Pendiente")),ROWS($A$5:A85))),"")</f>
        <v/>
      </c>
    </row>
    <row r="86">
      <c r="A86">
        <f>IFERROR(INDEX(MOVIMIENTOS!$A$5:$A$10004,AGGREGATE(15,6,(ROW(MOVIMIENTOS!$P$5:$P$10004)-ROW(MOVIMIENTOS!$P$5)+1)/(((MOVIMIENTOS!$C$5:$C$10004="Ingreso")+(MOVIMIENTOS!$C$5:$C$10004="Venta"))*(MOVIMIENTOS!$P$5:$P$10004="Pendiente")),ROWS($A$5:A86))),"")</f>
        <v/>
      </c>
      <c r="B86">
        <f>IFERROR(INDEX(MOVIMIENTOS!$B$5:$B$10004,AGGREGATE(15,6,(ROW(MOVIMIENTOS!$P$5:$P$10004)-ROW(MOVIMIENTOS!$P$5)+1)/(((MOVIMIENTOS!$C$5:$C$10004="Ingreso")+(MOVIMIENTOS!$C$5:$C$10004="Venta"))*(MOVIMIENTOS!$P$5:$P$10004="Pendiente")),ROWS($A$5:A86))),"")</f>
        <v/>
      </c>
      <c r="C86">
        <f>IFERROR(INDEX(MOVIMIENTOS!$E$5:$E$10004,AGGREGATE(15,6,(ROW(MOVIMIENTOS!$P$5:$P$10004)-ROW(MOVIMIENTOS!$P$5)+1)/(((MOVIMIENTOS!$C$5:$C$10004="Ingreso")+(MOVIMIENTOS!$C$5:$C$10004="Venta"))*(MOVIMIENTOS!$P$5:$P$10004="Pendiente")),ROWS($A$5:A86))),"")</f>
        <v/>
      </c>
      <c r="D86">
        <f>IFERROR(INDEX(MOVIMIENTOS!$D$5:$D$10004,AGGREGATE(15,6,(ROW(MOVIMIENTOS!$P$5:$P$10004)-ROW(MOVIMIENTOS!$P$5)+1)/(((MOVIMIENTOS!$C$5:$C$10004="Ingreso")+(MOVIMIENTOS!$C$5:$C$10004="Venta"))*(MOVIMIENTOS!$P$5:$P$10004="Pendiente")),ROWS($A$5:A86))),"")</f>
        <v/>
      </c>
      <c r="E86">
        <f>IFERROR(INDEX(MOVIMIENTOS!$O$5:$O$10004,AGGREGATE(15,6,(ROW(MOVIMIENTOS!$P$5:$P$10004)-ROW(MOVIMIENTOS!$P$5)+1)/(((MOVIMIENTOS!$C$5:$C$10004="Ingreso")+(MOVIMIENTOS!$C$5:$C$10004="Venta"))*(MOVIMIENTOS!$P$5:$P$10004="Pendiente")),ROWS($A$5:A86))),"")</f>
        <v/>
      </c>
      <c r="F86">
        <f>IF(A86="","",MAX(0,TODAY()-B86))</f>
        <v/>
      </c>
      <c r="G86">
        <f>IFERROR(INDEX(MOVIMIENTOS!$P$5:$P$10004,AGGREGATE(15,6,(ROW(MOVIMIENTOS!$P$5:$P$10004)-ROW(MOVIMIENTOS!$P$5)+1)/(((MOVIMIENTOS!$C$5:$C$10004="Ingreso")+(MOVIMIENTOS!$C$5:$C$10004="Venta"))*(MOVIMIENTOS!$P$5:$P$10004="Pendiente")),ROWS($A$5:A86))),"")</f>
        <v/>
      </c>
    </row>
    <row r="87">
      <c r="A87">
        <f>IFERROR(INDEX(MOVIMIENTOS!$A$5:$A$10004,AGGREGATE(15,6,(ROW(MOVIMIENTOS!$P$5:$P$10004)-ROW(MOVIMIENTOS!$P$5)+1)/(((MOVIMIENTOS!$C$5:$C$10004="Ingreso")+(MOVIMIENTOS!$C$5:$C$10004="Venta"))*(MOVIMIENTOS!$P$5:$P$10004="Pendiente")),ROWS($A$5:A87))),"")</f>
        <v/>
      </c>
      <c r="B87">
        <f>IFERROR(INDEX(MOVIMIENTOS!$B$5:$B$10004,AGGREGATE(15,6,(ROW(MOVIMIENTOS!$P$5:$P$10004)-ROW(MOVIMIENTOS!$P$5)+1)/(((MOVIMIENTOS!$C$5:$C$10004="Ingreso")+(MOVIMIENTOS!$C$5:$C$10004="Venta"))*(MOVIMIENTOS!$P$5:$P$10004="Pendiente")),ROWS($A$5:A87))),"")</f>
        <v/>
      </c>
      <c r="C87">
        <f>IFERROR(INDEX(MOVIMIENTOS!$E$5:$E$10004,AGGREGATE(15,6,(ROW(MOVIMIENTOS!$P$5:$P$10004)-ROW(MOVIMIENTOS!$P$5)+1)/(((MOVIMIENTOS!$C$5:$C$10004="Ingreso")+(MOVIMIENTOS!$C$5:$C$10004="Venta"))*(MOVIMIENTOS!$P$5:$P$10004="Pendiente")),ROWS($A$5:A87))),"")</f>
        <v/>
      </c>
      <c r="D87">
        <f>IFERROR(INDEX(MOVIMIENTOS!$D$5:$D$10004,AGGREGATE(15,6,(ROW(MOVIMIENTOS!$P$5:$P$10004)-ROW(MOVIMIENTOS!$P$5)+1)/(((MOVIMIENTOS!$C$5:$C$10004="Ingreso")+(MOVIMIENTOS!$C$5:$C$10004="Venta"))*(MOVIMIENTOS!$P$5:$P$10004="Pendiente")),ROWS($A$5:A87))),"")</f>
        <v/>
      </c>
      <c r="E87">
        <f>IFERROR(INDEX(MOVIMIENTOS!$O$5:$O$10004,AGGREGATE(15,6,(ROW(MOVIMIENTOS!$P$5:$P$10004)-ROW(MOVIMIENTOS!$P$5)+1)/(((MOVIMIENTOS!$C$5:$C$10004="Ingreso")+(MOVIMIENTOS!$C$5:$C$10004="Venta"))*(MOVIMIENTOS!$P$5:$P$10004="Pendiente")),ROWS($A$5:A87))),"")</f>
        <v/>
      </c>
      <c r="F87">
        <f>IF(A87="","",MAX(0,TODAY()-B87))</f>
        <v/>
      </c>
      <c r="G87">
        <f>IFERROR(INDEX(MOVIMIENTOS!$P$5:$P$10004,AGGREGATE(15,6,(ROW(MOVIMIENTOS!$P$5:$P$10004)-ROW(MOVIMIENTOS!$P$5)+1)/(((MOVIMIENTOS!$C$5:$C$10004="Ingreso")+(MOVIMIENTOS!$C$5:$C$10004="Venta"))*(MOVIMIENTOS!$P$5:$P$10004="Pendiente")),ROWS($A$5:A87))),"")</f>
        <v/>
      </c>
    </row>
    <row r="88">
      <c r="A88">
        <f>IFERROR(INDEX(MOVIMIENTOS!$A$5:$A$10004,AGGREGATE(15,6,(ROW(MOVIMIENTOS!$P$5:$P$10004)-ROW(MOVIMIENTOS!$P$5)+1)/(((MOVIMIENTOS!$C$5:$C$10004="Ingreso")+(MOVIMIENTOS!$C$5:$C$10004="Venta"))*(MOVIMIENTOS!$P$5:$P$10004="Pendiente")),ROWS($A$5:A88))),"")</f>
        <v/>
      </c>
      <c r="B88">
        <f>IFERROR(INDEX(MOVIMIENTOS!$B$5:$B$10004,AGGREGATE(15,6,(ROW(MOVIMIENTOS!$P$5:$P$10004)-ROW(MOVIMIENTOS!$P$5)+1)/(((MOVIMIENTOS!$C$5:$C$10004="Ingreso")+(MOVIMIENTOS!$C$5:$C$10004="Venta"))*(MOVIMIENTOS!$P$5:$P$10004="Pendiente")),ROWS($A$5:A88))),"")</f>
        <v/>
      </c>
      <c r="C88">
        <f>IFERROR(INDEX(MOVIMIENTOS!$E$5:$E$10004,AGGREGATE(15,6,(ROW(MOVIMIENTOS!$P$5:$P$10004)-ROW(MOVIMIENTOS!$P$5)+1)/(((MOVIMIENTOS!$C$5:$C$10004="Ingreso")+(MOVIMIENTOS!$C$5:$C$10004="Venta"))*(MOVIMIENTOS!$P$5:$P$10004="Pendiente")),ROWS($A$5:A88))),"")</f>
        <v/>
      </c>
      <c r="D88">
        <f>IFERROR(INDEX(MOVIMIENTOS!$D$5:$D$10004,AGGREGATE(15,6,(ROW(MOVIMIENTOS!$P$5:$P$10004)-ROW(MOVIMIENTOS!$P$5)+1)/(((MOVIMIENTOS!$C$5:$C$10004="Ingreso")+(MOVIMIENTOS!$C$5:$C$10004="Venta"))*(MOVIMIENTOS!$P$5:$P$10004="Pendiente")),ROWS($A$5:A88))),"")</f>
        <v/>
      </c>
      <c r="E88">
        <f>IFERROR(INDEX(MOVIMIENTOS!$O$5:$O$10004,AGGREGATE(15,6,(ROW(MOVIMIENTOS!$P$5:$P$10004)-ROW(MOVIMIENTOS!$P$5)+1)/(((MOVIMIENTOS!$C$5:$C$10004="Ingreso")+(MOVIMIENTOS!$C$5:$C$10004="Venta"))*(MOVIMIENTOS!$P$5:$P$10004="Pendiente")),ROWS($A$5:A88))),"")</f>
        <v/>
      </c>
      <c r="F88">
        <f>IF(A88="","",MAX(0,TODAY()-B88))</f>
        <v/>
      </c>
      <c r="G88">
        <f>IFERROR(INDEX(MOVIMIENTOS!$P$5:$P$10004,AGGREGATE(15,6,(ROW(MOVIMIENTOS!$P$5:$P$10004)-ROW(MOVIMIENTOS!$P$5)+1)/(((MOVIMIENTOS!$C$5:$C$10004="Ingreso")+(MOVIMIENTOS!$C$5:$C$10004="Venta"))*(MOVIMIENTOS!$P$5:$P$10004="Pendiente")),ROWS($A$5:A88))),"")</f>
        <v/>
      </c>
    </row>
    <row r="89">
      <c r="A89">
        <f>IFERROR(INDEX(MOVIMIENTOS!$A$5:$A$10004,AGGREGATE(15,6,(ROW(MOVIMIENTOS!$P$5:$P$10004)-ROW(MOVIMIENTOS!$P$5)+1)/(((MOVIMIENTOS!$C$5:$C$10004="Ingreso")+(MOVIMIENTOS!$C$5:$C$10004="Venta"))*(MOVIMIENTOS!$P$5:$P$10004="Pendiente")),ROWS($A$5:A89))),"")</f>
        <v/>
      </c>
      <c r="B89">
        <f>IFERROR(INDEX(MOVIMIENTOS!$B$5:$B$10004,AGGREGATE(15,6,(ROW(MOVIMIENTOS!$P$5:$P$10004)-ROW(MOVIMIENTOS!$P$5)+1)/(((MOVIMIENTOS!$C$5:$C$10004="Ingreso")+(MOVIMIENTOS!$C$5:$C$10004="Venta"))*(MOVIMIENTOS!$P$5:$P$10004="Pendiente")),ROWS($A$5:A89))),"")</f>
        <v/>
      </c>
      <c r="C89">
        <f>IFERROR(INDEX(MOVIMIENTOS!$E$5:$E$10004,AGGREGATE(15,6,(ROW(MOVIMIENTOS!$P$5:$P$10004)-ROW(MOVIMIENTOS!$P$5)+1)/(((MOVIMIENTOS!$C$5:$C$10004="Ingreso")+(MOVIMIENTOS!$C$5:$C$10004="Venta"))*(MOVIMIENTOS!$P$5:$P$10004="Pendiente")),ROWS($A$5:A89))),"")</f>
        <v/>
      </c>
      <c r="D89">
        <f>IFERROR(INDEX(MOVIMIENTOS!$D$5:$D$10004,AGGREGATE(15,6,(ROW(MOVIMIENTOS!$P$5:$P$10004)-ROW(MOVIMIENTOS!$P$5)+1)/(((MOVIMIENTOS!$C$5:$C$10004="Ingreso")+(MOVIMIENTOS!$C$5:$C$10004="Venta"))*(MOVIMIENTOS!$P$5:$P$10004="Pendiente")),ROWS($A$5:A89))),"")</f>
        <v/>
      </c>
      <c r="E89">
        <f>IFERROR(INDEX(MOVIMIENTOS!$O$5:$O$10004,AGGREGATE(15,6,(ROW(MOVIMIENTOS!$P$5:$P$10004)-ROW(MOVIMIENTOS!$P$5)+1)/(((MOVIMIENTOS!$C$5:$C$10004="Ingreso")+(MOVIMIENTOS!$C$5:$C$10004="Venta"))*(MOVIMIENTOS!$P$5:$P$10004="Pendiente")),ROWS($A$5:A89))),"")</f>
        <v/>
      </c>
      <c r="F89">
        <f>IF(A89="","",MAX(0,TODAY()-B89))</f>
        <v/>
      </c>
      <c r="G89">
        <f>IFERROR(INDEX(MOVIMIENTOS!$P$5:$P$10004,AGGREGATE(15,6,(ROW(MOVIMIENTOS!$P$5:$P$10004)-ROW(MOVIMIENTOS!$P$5)+1)/(((MOVIMIENTOS!$C$5:$C$10004="Ingreso")+(MOVIMIENTOS!$C$5:$C$10004="Venta"))*(MOVIMIENTOS!$P$5:$P$10004="Pendiente")),ROWS($A$5:A89))),"")</f>
        <v/>
      </c>
    </row>
    <row r="90">
      <c r="A90">
        <f>IFERROR(INDEX(MOVIMIENTOS!$A$5:$A$10004,AGGREGATE(15,6,(ROW(MOVIMIENTOS!$P$5:$P$10004)-ROW(MOVIMIENTOS!$P$5)+1)/(((MOVIMIENTOS!$C$5:$C$10004="Ingreso")+(MOVIMIENTOS!$C$5:$C$10004="Venta"))*(MOVIMIENTOS!$P$5:$P$10004="Pendiente")),ROWS($A$5:A90))),"")</f>
        <v/>
      </c>
      <c r="B90">
        <f>IFERROR(INDEX(MOVIMIENTOS!$B$5:$B$10004,AGGREGATE(15,6,(ROW(MOVIMIENTOS!$P$5:$P$10004)-ROW(MOVIMIENTOS!$P$5)+1)/(((MOVIMIENTOS!$C$5:$C$10004="Ingreso")+(MOVIMIENTOS!$C$5:$C$10004="Venta"))*(MOVIMIENTOS!$P$5:$P$10004="Pendiente")),ROWS($A$5:A90))),"")</f>
        <v/>
      </c>
      <c r="C90">
        <f>IFERROR(INDEX(MOVIMIENTOS!$E$5:$E$10004,AGGREGATE(15,6,(ROW(MOVIMIENTOS!$P$5:$P$10004)-ROW(MOVIMIENTOS!$P$5)+1)/(((MOVIMIENTOS!$C$5:$C$10004="Ingreso")+(MOVIMIENTOS!$C$5:$C$10004="Venta"))*(MOVIMIENTOS!$P$5:$P$10004="Pendiente")),ROWS($A$5:A90))),"")</f>
        <v/>
      </c>
      <c r="D90">
        <f>IFERROR(INDEX(MOVIMIENTOS!$D$5:$D$10004,AGGREGATE(15,6,(ROW(MOVIMIENTOS!$P$5:$P$10004)-ROW(MOVIMIENTOS!$P$5)+1)/(((MOVIMIENTOS!$C$5:$C$10004="Ingreso")+(MOVIMIENTOS!$C$5:$C$10004="Venta"))*(MOVIMIENTOS!$P$5:$P$10004="Pendiente")),ROWS($A$5:A90))),"")</f>
        <v/>
      </c>
      <c r="E90">
        <f>IFERROR(INDEX(MOVIMIENTOS!$O$5:$O$10004,AGGREGATE(15,6,(ROW(MOVIMIENTOS!$P$5:$P$10004)-ROW(MOVIMIENTOS!$P$5)+1)/(((MOVIMIENTOS!$C$5:$C$10004="Ingreso")+(MOVIMIENTOS!$C$5:$C$10004="Venta"))*(MOVIMIENTOS!$P$5:$P$10004="Pendiente")),ROWS($A$5:A90))),"")</f>
        <v/>
      </c>
      <c r="F90">
        <f>IF(A90="","",MAX(0,TODAY()-B90))</f>
        <v/>
      </c>
      <c r="G90">
        <f>IFERROR(INDEX(MOVIMIENTOS!$P$5:$P$10004,AGGREGATE(15,6,(ROW(MOVIMIENTOS!$P$5:$P$10004)-ROW(MOVIMIENTOS!$P$5)+1)/(((MOVIMIENTOS!$C$5:$C$10004="Ingreso")+(MOVIMIENTOS!$C$5:$C$10004="Venta"))*(MOVIMIENTOS!$P$5:$P$10004="Pendiente")),ROWS($A$5:A90))),"")</f>
        <v/>
      </c>
    </row>
    <row r="91">
      <c r="A91">
        <f>IFERROR(INDEX(MOVIMIENTOS!$A$5:$A$10004,AGGREGATE(15,6,(ROW(MOVIMIENTOS!$P$5:$P$10004)-ROW(MOVIMIENTOS!$P$5)+1)/(((MOVIMIENTOS!$C$5:$C$10004="Ingreso")+(MOVIMIENTOS!$C$5:$C$10004="Venta"))*(MOVIMIENTOS!$P$5:$P$10004="Pendiente")),ROWS($A$5:A91))),"")</f>
        <v/>
      </c>
      <c r="B91">
        <f>IFERROR(INDEX(MOVIMIENTOS!$B$5:$B$10004,AGGREGATE(15,6,(ROW(MOVIMIENTOS!$P$5:$P$10004)-ROW(MOVIMIENTOS!$P$5)+1)/(((MOVIMIENTOS!$C$5:$C$10004="Ingreso")+(MOVIMIENTOS!$C$5:$C$10004="Venta"))*(MOVIMIENTOS!$P$5:$P$10004="Pendiente")),ROWS($A$5:A91))),"")</f>
        <v/>
      </c>
      <c r="C91">
        <f>IFERROR(INDEX(MOVIMIENTOS!$E$5:$E$10004,AGGREGATE(15,6,(ROW(MOVIMIENTOS!$P$5:$P$10004)-ROW(MOVIMIENTOS!$P$5)+1)/(((MOVIMIENTOS!$C$5:$C$10004="Ingreso")+(MOVIMIENTOS!$C$5:$C$10004="Venta"))*(MOVIMIENTOS!$P$5:$P$10004="Pendiente")),ROWS($A$5:A91))),"")</f>
        <v/>
      </c>
      <c r="D91">
        <f>IFERROR(INDEX(MOVIMIENTOS!$D$5:$D$10004,AGGREGATE(15,6,(ROW(MOVIMIENTOS!$P$5:$P$10004)-ROW(MOVIMIENTOS!$P$5)+1)/(((MOVIMIENTOS!$C$5:$C$10004="Ingreso")+(MOVIMIENTOS!$C$5:$C$10004="Venta"))*(MOVIMIENTOS!$P$5:$P$10004="Pendiente")),ROWS($A$5:A91))),"")</f>
        <v/>
      </c>
      <c r="E91">
        <f>IFERROR(INDEX(MOVIMIENTOS!$O$5:$O$10004,AGGREGATE(15,6,(ROW(MOVIMIENTOS!$P$5:$P$10004)-ROW(MOVIMIENTOS!$P$5)+1)/(((MOVIMIENTOS!$C$5:$C$10004="Ingreso")+(MOVIMIENTOS!$C$5:$C$10004="Venta"))*(MOVIMIENTOS!$P$5:$P$10004="Pendiente")),ROWS($A$5:A91))),"")</f>
        <v/>
      </c>
      <c r="F91">
        <f>IF(A91="","",MAX(0,TODAY()-B91))</f>
        <v/>
      </c>
      <c r="G91">
        <f>IFERROR(INDEX(MOVIMIENTOS!$P$5:$P$10004,AGGREGATE(15,6,(ROW(MOVIMIENTOS!$P$5:$P$10004)-ROW(MOVIMIENTOS!$P$5)+1)/(((MOVIMIENTOS!$C$5:$C$10004="Ingreso")+(MOVIMIENTOS!$C$5:$C$10004="Venta"))*(MOVIMIENTOS!$P$5:$P$10004="Pendiente")),ROWS($A$5:A91))),"")</f>
        <v/>
      </c>
    </row>
    <row r="92">
      <c r="A92">
        <f>IFERROR(INDEX(MOVIMIENTOS!$A$5:$A$10004,AGGREGATE(15,6,(ROW(MOVIMIENTOS!$P$5:$P$10004)-ROW(MOVIMIENTOS!$P$5)+1)/(((MOVIMIENTOS!$C$5:$C$10004="Ingreso")+(MOVIMIENTOS!$C$5:$C$10004="Venta"))*(MOVIMIENTOS!$P$5:$P$10004="Pendiente")),ROWS($A$5:A92))),"")</f>
        <v/>
      </c>
      <c r="B92">
        <f>IFERROR(INDEX(MOVIMIENTOS!$B$5:$B$10004,AGGREGATE(15,6,(ROW(MOVIMIENTOS!$P$5:$P$10004)-ROW(MOVIMIENTOS!$P$5)+1)/(((MOVIMIENTOS!$C$5:$C$10004="Ingreso")+(MOVIMIENTOS!$C$5:$C$10004="Venta"))*(MOVIMIENTOS!$P$5:$P$10004="Pendiente")),ROWS($A$5:A92))),"")</f>
        <v/>
      </c>
      <c r="C92">
        <f>IFERROR(INDEX(MOVIMIENTOS!$E$5:$E$10004,AGGREGATE(15,6,(ROW(MOVIMIENTOS!$P$5:$P$10004)-ROW(MOVIMIENTOS!$P$5)+1)/(((MOVIMIENTOS!$C$5:$C$10004="Ingreso")+(MOVIMIENTOS!$C$5:$C$10004="Venta"))*(MOVIMIENTOS!$P$5:$P$10004="Pendiente")),ROWS($A$5:A92))),"")</f>
        <v/>
      </c>
      <c r="D92">
        <f>IFERROR(INDEX(MOVIMIENTOS!$D$5:$D$10004,AGGREGATE(15,6,(ROW(MOVIMIENTOS!$P$5:$P$10004)-ROW(MOVIMIENTOS!$P$5)+1)/(((MOVIMIENTOS!$C$5:$C$10004="Ingreso")+(MOVIMIENTOS!$C$5:$C$10004="Venta"))*(MOVIMIENTOS!$P$5:$P$10004="Pendiente")),ROWS($A$5:A92))),"")</f>
        <v/>
      </c>
      <c r="E92">
        <f>IFERROR(INDEX(MOVIMIENTOS!$O$5:$O$10004,AGGREGATE(15,6,(ROW(MOVIMIENTOS!$P$5:$P$10004)-ROW(MOVIMIENTOS!$P$5)+1)/(((MOVIMIENTOS!$C$5:$C$10004="Ingreso")+(MOVIMIENTOS!$C$5:$C$10004="Venta"))*(MOVIMIENTOS!$P$5:$P$10004="Pendiente")),ROWS($A$5:A92))),"")</f>
        <v/>
      </c>
      <c r="F92">
        <f>IF(A92="","",MAX(0,TODAY()-B92))</f>
        <v/>
      </c>
      <c r="G92">
        <f>IFERROR(INDEX(MOVIMIENTOS!$P$5:$P$10004,AGGREGATE(15,6,(ROW(MOVIMIENTOS!$P$5:$P$10004)-ROW(MOVIMIENTOS!$P$5)+1)/(((MOVIMIENTOS!$C$5:$C$10004="Ingreso")+(MOVIMIENTOS!$C$5:$C$10004="Venta"))*(MOVIMIENTOS!$P$5:$P$10004="Pendiente")),ROWS($A$5:A92))),"")</f>
        <v/>
      </c>
    </row>
    <row r="93">
      <c r="A93">
        <f>IFERROR(INDEX(MOVIMIENTOS!$A$5:$A$10004,AGGREGATE(15,6,(ROW(MOVIMIENTOS!$P$5:$P$10004)-ROW(MOVIMIENTOS!$P$5)+1)/(((MOVIMIENTOS!$C$5:$C$10004="Ingreso")+(MOVIMIENTOS!$C$5:$C$10004="Venta"))*(MOVIMIENTOS!$P$5:$P$10004="Pendiente")),ROWS($A$5:A93))),"")</f>
        <v/>
      </c>
      <c r="B93">
        <f>IFERROR(INDEX(MOVIMIENTOS!$B$5:$B$10004,AGGREGATE(15,6,(ROW(MOVIMIENTOS!$P$5:$P$10004)-ROW(MOVIMIENTOS!$P$5)+1)/(((MOVIMIENTOS!$C$5:$C$10004="Ingreso")+(MOVIMIENTOS!$C$5:$C$10004="Venta"))*(MOVIMIENTOS!$P$5:$P$10004="Pendiente")),ROWS($A$5:A93))),"")</f>
        <v/>
      </c>
      <c r="C93">
        <f>IFERROR(INDEX(MOVIMIENTOS!$E$5:$E$10004,AGGREGATE(15,6,(ROW(MOVIMIENTOS!$P$5:$P$10004)-ROW(MOVIMIENTOS!$P$5)+1)/(((MOVIMIENTOS!$C$5:$C$10004="Ingreso")+(MOVIMIENTOS!$C$5:$C$10004="Venta"))*(MOVIMIENTOS!$P$5:$P$10004="Pendiente")),ROWS($A$5:A93))),"")</f>
        <v/>
      </c>
      <c r="D93">
        <f>IFERROR(INDEX(MOVIMIENTOS!$D$5:$D$10004,AGGREGATE(15,6,(ROW(MOVIMIENTOS!$P$5:$P$10004)-ROW(MOVIMIENTOS!$P$5)+1)/(((MOVIMIENTOS!$C$5:$C$10004="Ingreso")+(MOVIMIENTOS!$C$5:$C$10004="Venta"))*(MOVIMIENTOS!$P$5:$P$10004="Pendiente")),ROWS($A$5:A93))),"")</f>
        <v/>
      </c>
      <c r="E93">
        <f>IFERROR(INDEX(MOVIMIENTOS!$O$5:$O$10004,AGGREGATE(15,6,(ROW(MOVIMIENTOS!$P$5:$P$10004)-ROW(MOVIMIENTOS!$P$5)+1)/(((MOVIMIENTOS!$C$5:$C$10004="Ingreso")+(MOVIMIENTOS!$C$5:$C$10004="Venta"))*(MOVIMIENTOS!$P$5:$P$10004="Pendiente")),ROWS($A$5:A93))),"")</f>
        <v/>
      </c>
      <c r="F93">
        <f>IF(A93="","",MAX(0,TODAY()-B93))</f>
        <v/>
      </c>
      <c r="G93">
        <f>IFERROR(INDEX(MOVIMIENTOS!$P$5:$P$10004,AGGREGATE(15,6,(ROW(MOVIMIENTOS!$P$5:$P$10004)-ROW(MOVIMIENTOS!$P$5)+1)/(((MOVIMIENTOS!$C$5:$C$10004="Ingreso")+(MOVIMIENTOS!$C$5:$C$10004="Venta"))*(MOVIMIENTOS!$P$5:$P$10004="Pendiente")),ROWS($A$5:A93))),"")</f>
        <v/>
      </c>
    </row>
    <row r="94">
      <c r="A94">
        <f>IFERROR(INDEX(MOVIMIENTOS!$A$5:$A$10004,AGGREGATE(15,6,(ROW(MOVIMIENTOS!$P$5:$P$10004)-ROW(MOVIMIENTOS!$P$5)+1)/(((MOVIMIENTOS!$C$5:$C$10004="Ingreso")+(MOVIMIENTOS!$C$5:$C$10004="Venta"))*(MOVIMIENTOS!$P$5:$P$10004="Pendiente")),ROWS($A$5:A94))),"")</f>
        <v/>
      </c>
      <c r="B94">
        <f>IFERROR(INDEX(MOVIMIENTOS!$B$5:$B$10004,AGGREGATE(15,6,(ROW(MOVIMIENTOS!$P$5:$P$10004)-ROW(MOVIMIENTOS!$P$5)+1)/(((MOVIMIENTOS!$C$5:$C$10004="Ingreso")+(MOVIMIENTOS!$C$5:$C$10004="Venta"))*(MOVIMIENTOS!$P$5:$P$10004="Pendiente")),ROWS($A$5:A94))),"")</f>
        <v/>
      </c>
      <c r="C94">
        <f>IFERROR(INDEX(MOVIMIENTOS!$E$5:$E$10004,AGGREGATE(15,6,(ROW(MOVIMIENTOS!$P$5:$P$10004)-ROW(MOVIMIENTOS!$P$5)+1)/(((MOVIMIENTOS!$C$5:$C$10004="Ingreso")+(MOVIMIENTOS!$C$5:$C$10004="Venta"))*(MOVIMIENTOS!$P$5:$P$10004="Pendiente")),ROWS($A$5:A94))),"")</f>
        <v/>
      </c>
      <c r="D94">
        <f>IFERROR(INDEX(MOVIMIENTOS!$D$5:$D$10004,AGGREGATE(15,6,(ROW(MOVIMIENTOS!$P$5:$P$10004)-ROW(MOVIMIENTOS!$P$5)+1)/(((MOVIMIENTOS!$C$5:$C$10004="Ingreso")+(MOVIMIENTOS!$C$5:$C$10004="Venta"))*(MOVIMIENTOS!$P$5:$P$10004="Pendiente")),ROWS($A$5:A94))),"")</f>
        <v/>
      </c>
      <c r="E94">
        <f>IFERROR(INDEX(MOVIMIENTOS!$O$5:$O$10004,AGGREGATE(15,6,(ROW(MOVIMIENTOS!$P$5:$P$10004)-ROW(MOVIMIENTOS!$P$5)+1)/(((MOVIMIENTOS!$C$5:$C$10004="Ingreso")+(MOVIMIENTOS!$C$5:$C$10004="Venta"))*(MOVIMIENTOS!$P$5:$P$10004="Pendiente")),ROWS($A$5:A94))),"")</f>
        <v/>
      </c>
      <c r="F94">
        <f>IF(A94="","",MAX(0,TODAY()-B94))</f>
        <v/>
      </c>
      <c r="G94">
        <f>IFERROR(INDEX(MOVIMIENTOS!$P$5:$P$10004,AGGREGATE(15,6,(ROW(MOVIMIENTOS!$P$5:$P$10004)-ROW(MOVIMIENTOS!$P$5)+1)/(((MOVIMIENTOS!$C$5:$C$10004="Ingreso")+(MOVIMIENTOS!$C$5:$C$10004="Venta"))*(MOVIMIENTOS!$P$5:$P$10004="Pendiente")),ROWS($A$5:A94))),"")</f>
        <v/>
      </c>
    </row>
    <row r="95">
      <c r="A95">
        <f>IFERROR(INDEX(MOVIMIENTOS!$A$5:$A$10004,AGGREGATE(15,6,(ROW(MOVIMIENTOS!$P$5:$P$10004)-ROW(MOVIMIENTOS!$P$5)+1)/(((MOVIMIENTOS!$C$5:$C$10004="Ingreso")+(MOVIMIENTOS!$C$5:$C$10004="Venta"))*(MOVIMIENTOS!$P$5:$P$10004="Pendiente")),ROWS($A$5:A95))),"")</f>
        <v/>
      </c>
      <c r="B95">
        <f>IFERROR(INDEX(MOVIMIENTOS!$B$5:$B$10004,AGGREGATE(15,6,(ROW(MOVIMIENTOS!$P$5:$P$10004)-ROW(MOVIMIENTOS!$P$5)+1)/(((MOVIMIENTOS!$C$5:$C$10004="Ingreso")+(MOVIMIENTOS!$C$5:$C$10004="Venta"))*(MOVIMIENTOS!$P$5:$P$10004="Pendiente")),ROWS($A$5:A95))),"")</f>
        <v/>
      </c>
      <c r="C95">
        <f>IFERROR(INDEX(MOVIMIENTOS!$E$5:$E$10004,AGGREGATE(15,6,(ROW(MOVIMIENTOS!$P$5:$P$10004)-ROW(MOVIMIENTOS!$P$5)+1)/(((MOVIMIENTOS!$C$5:$C$10004="Ingreso")+(MOVIMIENTOS!$C$5:$C$10004="Venta"))*(MOVIMIENTOS!$P$5:$P$10004="Pendiente")),ROWS($A$5:A95))),"")</f>
        <v/>
      </c>
      <c r="D95">
        <f>IFERROR(INDEX(MOVIMIENTOS!$D$5:$D$10004,AGGREGATE(15,6,(ROW(MOVIMIENTOS!$P$5:$P$10004)-ROW(MOVIMIENTOS!$P$5)+1)/(((MOVIMIENTOS!$C$5:$C$10004="Ingreso")+(MOVIMIENTOS!$C$5:$C$10004="Venta"))*(MOVIMIENTOS!$P$5:$P$10004="Pendiente")),ROWS($A$5:A95))),"")</f>
        <v/>
      </c>
      <c r="E95">
        <f>IFERROR(INDEX(MOVIMIENTOS!$O$5:$O$10004,AGGREGATE(15,6,(ROW(MOVIMIENTOS!$P$5:$P$10004)-ROW(MOVIMIENTOS!$P$5)+1)/(((MOVIMIENTOS!$C$5:$C$10004="Ingreso")+(MOVIMIENTOS!$C$5:$C$10004="Venta"))*(MOVIMIENTOS!$P$5:$P$10004="Pendiente")),ROWS($A$5:A95))),"")</f>
        <v/>
      </c>
      <c r="F95">
        <f>IF(A95="","",MAX(0,TODAY()-B95))</f>
        <v/>
      </c>
      <c r="G95">
        <f>IFERROR(INDEX(MOVIMIENTOS!$P$5:$P$10004,AGGREGATE(15,6,(ROW(MOVIMIENTOS!$P$5:$P$10004)-ROW(MOVIMIENTOS!$P$5)+1)/(((MOVIMIENTOS!$C$5:$C$10004="Ingreso")+(MOVIMIENTOS!$C$5:$C$10004="Venta"))*(MOVIMIENTOS!$P$5:$P$10004="Pendiente")),ROWS($A$5:A95))),"")</f>
        <v/>
      </c>
    </row>
    <row r="96">
      <c r="A96">
        <f>IFERROR(INDEX(MOVIMIENTOS!$A$5:$A$10004,AGGREGATE(15,6,(ROW(MOVIMIENTOS!$P$5:$P$10004)-ROW(MOVIMIENTOS!$P$5)+1)/(((MOVIMIENTOS!$C$5:$C$10004="Ingreso")+(MOVIMIENTOS!$C$5:$C$10004="Venta"))*(MOVIMIENTOS!$P$5:$P$10004="Pendiente")),ROWS($A$5:A96))),"")</f>
        <v/>
      </c>
      <c r="B96">
        <f>IFERROR(INDEX(MOVIMIENTOS!$B$5:$B$10004,AGGREGATE(15,6,(ROW(MOVIMIENTOS!$P$5:$P$10004)-ROW(MOVIMIENTOS!$P$5)+1)/(((MOVIMIENTOS!$C$5:$C$10004="Ingreso")+(MOVIMIENTOS!$C$5:$C$10004="Venta"))*(MOVIMIENTOS!$P$5:$P$10004="Pendiente")),ROWS($A$5:A96))),"")</f>
        <v/>
      </c>
      <c r="C96">
        <f>IFERROR(INDEX(MOVIMIENTOS!$E$5:$E$10004,AGGREGATE(15,6,(ROW(MOVIMIENTOS!$P$5:$P$10004)-ROW(MOVIMIENTOS!$P$5)+1)/(((MOVIMIENTOS!$C$5:$C$10004="Ingreso")+(MOVIMIENTOS!$C$5:$C$10004="Venta"))*(MOVIMIENTOS!$P$5:$P$10004="Pendiente")),ROWS($A$5:A96))),"")</f>
        <v/>
      </c>
      <c r="D96">
        <f>IFERROR(INDEX(MOVIMIENTOS!$D$5:$D$10004,AGGREGATE(15,6,(ROW(MOVIMIENTOS!$P$5:$P$10004)-ROW(MOVIMIENTOS!$P$5)+1)/(((MOVIMIENTOS!$C$5:$C$10004="Ingreso")+(MOVIMIENTOS!$C$5:$C$10004="Venta"))*(MOVIMIENTOS!$P$5:$P$10004="Pendiente")),ROWS($A$5:A96))),"")</f>
        <v/>
      </c>
      <c r="E96">
        <f>IFERROR(INDEX(MOVIMIENTOS!$O$5:$O$10004,AGGREGATE(15,6,(ROW(MOVIMIENTOS!$P$5:$P$10004)-ROW(MOVIMIENTOS!$P$5)+1)/(((MOVIMIENTOS!$C$5:$C$10004="Ingreso")+(MOVIMIENTOS!$C$5:$C$10004="Venta"))*(MOVIMIENTOS!$P$5:$P$10004="Pendiente")),ROWS($A$5:A96))),"")</f>
        <v/>
      </c>
      <c r="F96">
        <f>IF(A96="","",MAX(0,TODAY()-B96))</f>
        <v/>
      </c>
      <c r="G96">
        <f>IFERROR(INDEX(MOVIMIENTOS!$P$5:$P$10004,AGGREGATE(15,6,(ROW(MOVIMIENTOS!$P$5:$P$10004)-ROW(MOVIMIENTOS!$P$5)+1)/(((MOVIMIENTOS!$C$5:$C$10004="Ingreso")+(MOVIMIENTOS!$C$5:$C$10004="Venta"))*(MOVIMIENTOS!$P$5:$P$10004="Pendiente")),ROWS($A$5:A96))),"")</f>
        <v/>
      </c>
    </row>
    <row r="97">
      <c r="A97">
        <f>IFERROR(INDEX(MOVIMIENTOS!$A$5:$A$10004,AGGREGATE(15,6,(ROW(MOVIMIENTOS!$P$5:$P$10004)-ROW(MOVIMIENTOS!$P$5)+1)/(((MOVIMIENTOS!$C$5:$C$10004="Ingreso")+(MOVIMIENTOS!$C$5:$C$10004="Venta"))*(MOVIMIENTOS!$P$5:$P$10004="Pendiente")),ROWS($A$5:A97))),"")</f>
        <v/>
      </c>
      <c r="B97">
        <f>IFERROR(INDEX(MOVIMIENTOS!$B$5:$B$10004,AGGREGATE(15,6,(ROW(MOVIMIENTOS!$P$5:$P$10004)-ROW(MOVIMIENTOS!$P$5)+1)/(((MOVIMIENTOS!$C$5:$C$10004="Ingreso")+(MOVIMIENTOS!$C$5:$C$10004="Venta"))*(MOVIMIENTOS!$P$5:$P$10004="Pendiente")),ROWS($A$5:A97))),"")</f>
        <v/>
      </c>
      <c r="C97">
        <f>IFERROR(INDEX(MOVIMIENTOS!$E$5:$E$10004,AGGREGATE(15,6,(ROW(MOVIMIENTOS!$P$5:$P$10004)-ROW(MOVIMIENTOS!$P$5)+1)/(((MOVIMIENTOS!$C$5:$C$10004="Ingreso")+(MOVIMIENTOS!$C$5:$C$10004="Venta"))*(MOVIMIENTOS!$P$5:$P$10004="Pendiente")),ROWS($A$5:A97))),"")</f>
        <v/>
      </c>
      <c r="D97">
        <f>IFERROR(INDEX(MOVIMIENTOS!$D$5:$D$10004,AGGREGATE(15,6,(ROW(MOVIMIENTOS!$P$5:$P$10004)-ROW(MOVIMIENTOS!$P$5)+1)/(((MOVIMIENTOS!$C$5:$C$10004="Ingreso")+(MOVIMIENTOS!$C$5:$C$10004="Venta"))*(MOVIMIENTOS!$P$5:$P$10004="Pendiente")),ROWS($A$5:A97))),"")</f>
        <v/>
      </c>
      <c r="E97">
        <f>IFERROR(INDEX(MOVIMIENTOS!$O$5:$O$10004,AGGREGATE(15,6,(ROW(MOVIMIENTOS!$P$5:$P$10004)-ROW(MOVIMIENTOS!$P$5)+1)/(((MOVIMIENTOS!$C$5:$C$10004="Ingreso")+(MOVIMIENTOS!$C$5:$C$10004="Venta"))*(MOVIMIENTOS!$P$5:$P$10004="Pendiente")),ROWS($A$5:A97))),"")</f>
        <v/>
      </c>
      <c r="F97">
        <f>IF(A97="","",MAX(0,TODAY()-B97))</f>
        <v/>
      </c>
      <c r="G97">
        <f>IFERROR(INDEX(MOVIMIENTOS!$P$5:$P$10004,AGGREGATE(15,6,(ROW(MOVIMIENTOS!$P$5:$P$10004)-ROW(MOVIMIENTOS!$P$5)+1)/(((MOVIMIENTOS!$C$5:$C$10004="Ingreso")+(MOVIMIENTOS!$C$5:$C$10004="Venta"))*(MOVIMIENTOS!$P$5:$P$10004="Pendiente")),ROWS($A$5:A97))),"")</f>
        <v/>
      </c>
    </row>
    <row r="98">
      <c r="A98">
        <f>IFERROR(INDEX(MOVIMIENTOS!$A$5:$A$10004,AGGREGATE(15,6,(ROW(MOVIMIENTOS!$P$5:$P$10004)-ROW(MOVIMIENTOS!$P$5)+1)/(((MOVIMIENTOS!$C$5:$C$10004="Ingreso")+(MOVIMIENTOS!$C$5:$C$10004="Venta"))*(MOVIMIENTOS!$P$5:$P$10004="Pendiente")),ROWS($A$5:A98))),"")</f>
        <v/>
      </c>
      <c r="B98">
        <f>IFERROR(INDEX(MOVIMIENTOS!$B$5:$B$10004,AGGREGATE(15,6,(ROW(MOVIMIENTOS!$P$5:$P$10004)-ROW(MOVIMIENTOS!$P$5)+1)/(((MOVIMIENTOS!$C$5:$C$10004="Ingreso")+(MOVIMIENTOS!$C$5:$C$10004="Venta"))*(MOVIMIENTOS!$P$5:$P$10004="Pendiente")),ROWS($A$5:A98))),"")</f>
        <v/>
      </c>
      <c r="C98">
        <f>IFERROR(INDEX(MOVIMIENTOS!$E$5:$E$10004,AGGREGATE(15,6,(ROW(MOVIMIENTOS!$P$5:$P$10004)-ROW(MOVIMIENTOS!$P$5)+1)/(((MOVIMIENTOS!$C$5:$C$10004="Ingreso")+(MOVIMIENTOS!$C$5:$C$10004="Venta"))*(MOVIMIENTOS!$P$5:$P$10004="Pendiente")),ROWS($A$5:A98))),"")</f>
        <v/>
      </c>
      <c r="D98">
        <f>IFERROR(INDEX(MOVIMIENTOS!$D$5:$D$10004,AGGREGATE(15,6,(ROW(MOVIMIENTOS!$P$5:$P$10004)-ROW(MOVIMIENTOS!$P$5)+1)/(((MOVIMIENTOS!$C$5:$C$10004="Ingreso")+(MOVIMIENTOS!$C$5:$C$10004="Venta"))*(MOVIMIENTOS!$P$5:$P$10004="Pendiente")),ROWS($A$5:A98))),"")</f>
        <v/>
      </c>
      <c r="E98">
        <f>IFERROR(INDEX(MOVIMIENTOS!$O$5:$O$10004,AGGREGATE(15,6,(ROW(MOVIMIENTOS!$P$5:$P$10004)-ROW(MOVIMIENTOS!$P$5)+1)/(((MOVIMIENTOS!$C$5:$C$10004="Ingreso")+(MOVIMIENTOS!$C$5:$C$10004="Venta"))*(MOVIMIENTOS!$P$5:$P$10004="Pendiente")),ROWS($A$5:A98))),"")</f>
        <v/>
      </c>
      <c r="F98">
        <f>IF(A98="","",MAX(0,TODAY()-B98))</f>
        <v/>
      </c>
      <c r="G98">
        <f>IFERROR(INDEX(MOVIMIENTOS!$P$5:$P$10004,AGGREGATE(15,6,(ROW(MOVIMIENTOS!$P$5:$P$10004)-ROW(MOVIMIENTOS!$P$5)+1)/(((MOVIMIENTOS!$C$5:$C$10004="Ingreso")+(MOVIMIENTOS!$C$5:$C$10004="Venta"))*(MOVIMIENTOS!$P$5:$P$10004="Pendiente")),ROWS($A$5:A98))),"")</f>
        <v/>
      </c>
    </row>
    <row r="99">
      <c r="A99">
        <f>IFERROR(INDEX(MOVIMIENTOS!$A$5:$A$10004,AGGREGATE(15,6,(ROW(MOVIMIENTOS!$P$5:$P$10004)-ROW(MOVIMIENTOS!$P$5)+1)/(((MOVIMIENTOS!$C$5:$C$10004="Ingreso")+(MOVIMIENTOS!$C$5:$C$10004="Venta"))*(MOVIMIENTOS!$P$5:$P$10004="Pendiente")),ROWS($A$5:A99))),"")</f>
        <v/>
      </c>
      <c r="B99">
        <f>IFERROR(INDEX(MOVIMIENTOS!$B$5:$B$10004,AGGREGATE(15,6,(ROW(MOVIMIENTOS!$P$5:$P$10004)-ROW(MOVIMIENTOS!$P$5)+1)/(((MOVIMIENTOS!$C$5:$C$10004="Ingreso")+(MOVIMIENTOS!$C$5:$C$10004="Venta"))*(MOVIMIENTOS!$P$5:$P$10004="Pendiente")),ROWS($A$5:A99))),"")</f>
        <v/>
      </c>
      <c r="C99">
        <f>IFERROR(INDEX(MOVIMIENTOS!$E$5:$E$10004,AGGREGATE(15,6,(ROW(MOVIMIENTOS!$P$5:$P$10004)-ROW(MOVIMIENTOS!$P$5)+1)/(((MOVIMIENTOS!$C$5:$C$10004="Ingreso")+(MOVIMIENTOS!$C$5:$C$10004="Venta"))*(MOVIMIENTOS!$P$5:$P$10004="Pendiente")),ROWS($A$5:A99))),"")</f>
        <v/>
      </c>
      <c r="D99">
        <f>IFERROR(INDEX(MOVIMIENTOS!$D$5:$D$10004,AGGREGATE(15,6,(ROW(MOVIMIENTOS!$P$5:$P$10004)-ROW(MOVIMIENTOS!$P$5)+1)/(((MOVIMIENTOS!$C$5:$C$10004="Ingreso")+(MOVIMIENTOS!$C$5:$C$10004="Venta"))*(MOVIMIENTOS!$P$5:$P$10004="Pendiente")),ROWS($A$5:A99))),"")</f>
        <v/>
      </c>
      <c r="E99">
        <f>IFERROR(INDEX(MOVIMIENTOS!$O$5:$O$10004,AGGREGATE(15,6,(ROW(MOVIMIENTOS!$P$5:$P$10004)-ROW(MOVIMIENTOS!$P$5)+1)/(((MOVIMIENTOS!$C$5:$C$10004="Ingreso")+(MOVIMIENTOS!$C$5:$C$10004="Venta"))*(MOVIMIENTOS!$P$5:$P$10004="Pendiente")),ROWS($A$5:A99))),"")</f>
        <v/>
      </c>
      <c r="F99">
        <f>IF(A99="","",MAX(0,TODAY()-B99))</f>
        <v/>
      </c>
      <c r="G99">
        <f>IFERROR(INDEX(MOVIMIENTOS!$P$5:$P$10004,AGGREGATE(15,6,(ROW(MOVIMIENTOS!$P$5:$P$10004)-ROW(MOVIMIENTOS!$P$5)+1)/(((MOVIMIENTOS!$C$5:$C$10004="Ingreso")+(MOVIMIENTOS!$C$5:$C$10004="Venta"))*(MOVIMIENTOS!$P$5:$P$10004="Pendiente")),ROWS($A$5:A99))),"")</f>
        <v/>
      </c>
    </row>
    <row r="100">
      <c r="A100">
        <f>IFERROR(INDEX(MOVIMIENTOS!$A$5:$A$10004,AGGREGATE(15,6,(ROW(MOVIMIENTOS!$P$5:$P$10004)-ROW(MOVIMIENTOS!$P$5)+1)/(((MOVIMIENTOS!$C$5:$C$10004="Ingreso")+(MOVIMIENTOS!$C$5:$C$10004="Venta"))*(MOVIMIENTOS!$P$5:$P$10004="Pendiente")),ROWS($A$5:A100))),"")</f>
        <v/>
      </c>
      <c r="B100">
        <f>IFERROR(INDEX(MOVIMIENTOS!$B$5:$B$10004,AGGREGATE(15,6,(ROW(MOVIMIENTOS!$P$5:$P$10004)-ROW(MOVIMIENTOS!$P$5)+1)/(((MOVIMIENTOS!$C$5:$C$10004="Ingreso")+(MOVIMIENTOS!$C$5:$C$10004="Venta"))*(MOVIMIENTOS!$P$5:$P$10004="Pendiente")),ROWS($A$5:A100))),"")</f>
        <v/>
      </c>
      <c r="C100">
        <f>IFERROR(INDEX(MOVIMIENTOS!$E$5:$E$10004,AGGREGATE(15,6,(ROW(MOVIMIENTOS!$P$5:$P$10004)-ROW(MOVIMIENTOS!$P$5)+1)/(((MOVIMIENTOS!$C$5:$C$10004="Ingreso")+(MOVIMIENTOS!$C$5:$C$10004="Venta"))*(MOVIMIENTOS!$P$5:$P$10004="Pendiente")),ROWS($A$5:A100))),"")</f>
        <v/>
      </c>
      <c r="D100">
        <f>IFERROR(INDEX(MOVIMIENTOS!$D$5:$D$10004,AGGREGATE(15,6,(ROW(MOVIMIENTOS!$P$5:$P$10004)-ROW(MOVIMIENTOS!$P$5)+1)/(((MOVIMIENTOS!$C$5:$C$10004="Ingreso")+(MOVIMIENTOS!$C$5:$C$10004="Venta"))*(MOVIMIENTOS!$P$5:$P$10004="Pendiente")),ROWS($A$5:A100))),"")</f>
        <v/>
      </c>
      <c r="E100">
        <f>IFERROR(INDEX(MOVIMIENTOS!$O$5:$O$10004,AGGREGATE(15,6,(ROW(MOVIMIENTOS!$P$5:$P$10004)-ROW(MOVIMIENTOS!$P$5)+1)/(((MOVIMIENTOS!$C$5:$C$10004="Ingreso")+(MOVIMIENTOS!$C$5:$C$10004="Venta"))*(MOVIMIENTOS!$P$5:$P$10004="Pendiente")),ROWS($A$5:A100))),"")</f>
        <v/>
      </c>
      <c r="F100">
        <f>IF(A100="","",MAX(0,TODAY()-B100))</f>
        <v/>
      </c>
      <c r="G100">
        <f>IFERROR(INDEX(MOVIMIENTOS!$P$5:$P$10004,AGGREGATE(15,6,(ROW(MOVIMIENTOS!$P$5:$P$10004)-ROW(MOVIMIENTOS!$P$5)+1)/(((MOVIMIENTOS!$C$5:$C$10004="Ingreso")+(MOVIMIENTOS!$C$5:$C$10004="Venta"))*(MOVIMIENTOS!$P$5:$P$10004="Pendiente")),ROWS($A$5:A100))),"")</f>
        <v/>
      </c>
    </row>
    <row r="101">
      <c r="A101">
        <f>IFERROR(INDEX(MOVIMIENTOS!$A$5:$A$10004,AGGREGATE(15,6,(ROW(MOVIMIENTOS!$P$5:$P$10004)-ROW(MOVIMIENTOS!$P$5)+1)/(((MOVIMIENTOS!$C$5:$C$10004="Ingreso")+(MOVIMIENTOS!$C$5:$C$10004="Venta"))*(MOVIMIENTOS!$P$5:$P$10004="Pendiente")),ROWS($A$5:A101))),"")</f>
        <v/>
      </c>
      <c r="B101">
        <f>IFERROR(INDEX(MOVIMIENTOS!$B$5:$B$10004,AGGREGATE(15,6,(ROW(MOVIMIENTOS!$P$5:$P$10004)-ROW(MOVIMIENTOS!$P$5)+1)/(((MOVIMIENTOS!$C$5:$C$10004="Ingreso")+(MOVIMIENTOS!$C$5:$C$10004="Venta"))*(MOVIMIENTOS!$P$5:$P$10004="Pendiente")),ROWS($A$5:A101))),"")</f>
        <v/>
      </c>
      <c r="C101">
        <f>IFERROR(INDEX(MOVIMIENTOS!$E$5:$E$10004,AGGREGATE(15,6,(ROW(MOVIMIENTOS!$P$5:$P$10004)-ROW(MOVIMIENTOS!$P$5)+1)/(((MOVIMIENTOS!$C$5:$C$10004="Ingreso")+(MOVIMIENTOS!$C$5:$C$10004="Venta"))*(MOVIMIENTOS!$P$5:$P$10004="Pendiente")),ROWS($A$5:A101))),"")</f>
        <v/>
      </c>
      <c r="D101">
        <f>IFERROR(INDEX(MOVIMIENTOS!$D$5:$D$10004,AGGREGATE(15,6,(ROW(MOVIMIENTOS!$P$5:$P$10004)-ROW(MOVIMIENTOS!$P$5)+1)/(((MOVIMIENTOS!$C$5:$C$10004="Ingreso")+(MOVIMIENTOS!$C$5:$C$10004="Venta"))*(MOVIMIENTOS!$P$5:$P$10004="Pendiente")),ROWS($A$5:A101))),"")</f>
        <v/>
      </c>
      <c r="E101">
        <f>IFERROR(INDEX(MOVIMIENTOS!$O$5:$O$10004,AGGREGATE(15,6,(ROW(MOVIMIENTOS!$P$5:$P$10004)-ROW(MOVIMIENTOS!$P$5)+1)/(((MOVIMIENTOS!$C$5:$C$10004="Ingreso")+(MOVIMIENTOS!$C$5:$C$10004="Venta"))*(MOVIMIENTOS!$P$5:$P$10004="Pendiente")),ROWS($A$5:A101))),"")</f>
        <v/>
      </c>
      <c r="F101">
        <f>IF(A101="","",MAX(0,TODAY()-B101))</f>
        <v/>
      </c>
      <c r="G101">
        <f>IFERROR(INDEX(MOVIMIENTOS!$P$5:$P$10004,AGGREGATE(15,6,(ROW(MOVIMIENTOS!$P$5:$P$10004)-ROW(MOVIMIENTOS!$P$5)+1)/(((MOVIMIENTOS!$C$5:$C$10004="Ingreso")+(MOVIMIENTOS!$C$5:$C$10004="Venta"))*(MOVIMIENTOS!$P$5:$P$10004="Pendiente")),ROWS($A$5:A101))),"")</f>
        <v/>
      </c>
    </row>
    <row r="102">
      <c r="A102">
        <f>IFERROR(INDEX(MOVIMIENTOS!$A$5:$A$10004,AGGREGATE(15,6,(ROW(MOVIMIENTOS!$P$5:$P$10004)-ROW(MOVIMIENTOS!$P$5)+1)/(((MOVIMIENTOS!$C$5:$C$10004="Ingreso")+(MOVIMIENTOS!$C$5:$C$10004="Venta"))*(MOVIMIENTOS!$P$5:$P$10004="Pendiente")),ROWS($A$5:A102))),"")</f>
        <v/>
      </c>
      <c r="B102">
        <f>IFERROR(INDEX(MOVIMIENTOS!$B$5:$B$10004,AGGREGATE(15,6,(ROW(MOVIMIENTOS!$P$5:$P$10004)-ROW(MOVIMIENTOS!$P$5)+1)/(((MOVIMIENTOS!$C$5:$C$10004="Ingreso")+(MOVIMIENTOS!$C$5:$C$10004="Venta"))*(MOVIMIENTOS!$P$5:$P$10004="Pendiente")),ROWS($A$5:A102))),"")</f>
        <v/>
      </c>
      <c r="C102">
        <f>IFERROR(INDEX(MOVIMIENTOS!$E$5:$E$10004,AGGREGATE(15,6,(ROW(MOVIMIENTOS!$P$5:$P$10004)-ROW(MOVIMIENTOS!$P$5)+1)/(((MOVIMIENTOS!$C$5:$C$10004="Ingreso")+(MOVIMIENTOS!$C$5:$C$10004="Venta"))*(MOVIMIENTOS!$P$5:$P$10004="Pendiente")),ROWS($A$5:A102))),"")</f>
        <v/>
      </c>
      <c r="D102">
        <f>IFERROR(INDEX(MOVIMIENTOS!$D$5:$D$10004,AGGREGATE(15,6,(ROW(MOVIMIENTOS!$P$5:$P$10004)-ROW(MOVIMIENTOS!$P$5)+1)/(((MOVIMIENTOS!$C$5:$C$10004="Ingreso")+(MOVIMIENTOS!$C$5:$C$10004="Venta"))*(MOVIMIENTOS!$P$5:$P$10004="Pendiente")),ROWS($A$5:A102))),"")</f>
        <v/>
      </c>
      <c r="E102">
        <f>IFERROR(INDEX(MOVIMIENTOS!$O$5:$O$10004,AGGREGATE(15,6,(ROW(MOVIMIENTOS!$P$5:$P$10004)-ROW(MOVIMIENTOS!$P$5)+1)/(((MOVIMIENTOS!$C$5:$C$10004="Ingreso")+(MOVIMIENTOS!$C$5:$C$10004="Venta"))*(MOVIMIENTOS!$P$5:$P$10004="Pendiente")),ROWS($A$5:A102))),"")</f>
        <v/>
      </c>
      <c r="F102">
        <f>IF(A102="","",MAX(0,TODAY()-B102))</f>
        <v/>
      </c>
      <c r="G102">
        <f>IFERROR(INDEX(MOVIMIENTOS!$P$5:$P$10004,AGGREGATE(15,6,(ROW(MOVIMIENTOS!$P$5:$P$10004)-ROW(MOVIMIENTOS!$P$5)+1)/(((MOVIMIENTOS!$C$5:$C$10004="Ingreso")+(MOVIMIENTOS!$C$5:$C$10004="Venta"))*(MOVIMIENTOS!$P$5:$P$10004="Pendiente")),ROWS($A$5:A102))),"")</f>
        <v/>
      </c>
    </row>
    <row r="103">
      <c r="A103">
        <f>IFERROR(INDEX(MOVIMIENTOS!$A$5:$A$10004,AGGREGATE(15,6,(ROW(MOVIMIENTOS!$P$5:$P$10004)-ROW(MOVIMIENTOS!$P$5)+1)/(((MOVIMIENTOS!$C$5:$C$10004="Ingreso")+(MOVIMIENTOS!$C$5:$C$10004="Venta"))*(MOVIMIENTOS!$P$5:$P$10004="Pendiente")),ROWS($A$5:A103))),"")</f>
        <v/>
      </c>
      <c r="B103">
        <f>IFERROR(INDEX(MOVIMIENTOS!$B$5:$B$10004,AGGREGATE(15,6,(ROW(MOVIMIENTOS!$P$5:$P$10004)-ROW(MOVIMIENTOS!$P$5)+1)/(((MOVIMIENTOS!$C$5:$C$10004="Ingreso")+(MOVIMIENTOS!$C$5:$C$10004="Venta"))*(MOVIMIENTOS!$P$5:$P$10004="Pendiente")),ROWS($A$5:A103))),"")</f>
        <v/>
      </c>
      <c r="C103">
        <f>IFERROR(INDEX(MOVIMIENTOS!$E$5:$E$10004,AGGREGATE(15,6,(ROW(MOVIMIENTOS!$P$5:$P$10004)-ROW(MOVIMIENTOS!$P$5)+1)/(((MOVIMIENTOS!$C$5:$C$10004="Ingreso")+(MOVIMIENTOS!$C$5:$C$10004="Venta"))*(MOVIMIENTOS!$P$5:$P$10004="Pendiente")),ROWS($A$5:A103))),"")</f>
        <v/>
      </c>
      <c r="D103">
        <f>IFERROR(INDEX(MOVIMIENTOS!$D$5:$D$10004,AGGREGATE(15,6,(ROW(MOVIMIENTOS!$P$5:$P$10004)-ROW(MOVIMIENTOS!$P$5)+1)/(((MOVIMIENTOS!$C$5:$C$10004="Ingreso")+(MOVIMIENTOS!$C$5:$C$10004="Venta"))*(MOVIMIENTOS!$P$5:$P$10004="Pendiente")),ROWS($A$5:A103))),"")</f>
        <v/>
      </c>
      <c r="E103">
        <f>IFERROR(INDEX(MOVIMIENTOS!$O$5:$O$10004,AGGREGATE(15,6,(ROW(MOVIMIENTOS!$P$5:$P$10004)-ROW(MOVIMIENTOS!$P$5)+1)/(((MOVIMIENTOS!$C$5:$C$10004="Ingreso")+(MOVIMIENTOS!$C$5:$C$10004="Venta"))*(MOVIMIENTOS!$P$5:$P$10004="Pendiente")),ROWS($A$5:A103))),"")</f>
        <v/>
      </c>
      <c r="F103">
        <f>IF(A103="","",MAX(0,TODAY()-B103))</f>
        <v/>
      </c>
      <c r="G103">
        <f>IFERROR(INDEX(MOVIMIENTOS!$P$5:$P$10004,AGGREGATE(15,6,(ROW(MOVIMIENTOS!$P$5:$P$10004)-ROW(MOVIMIENTOS!$P$5)+1)/(((MOVIMIENTOS!$C$5:$C$10004="Ingreso")+(MOVIMIENTOS!$C$5:$C$10004="Venta"))*(MOVIMIENTOS!$P$5:$P$10004="Pendiente")),ROWS($A$5:A103))),"")</f>
        <v/>
      </c>
    </row>
    <row r="104">
      <c r="A104">
        <f>IFERROR(INDEX(MOVIMIENTOS!$A$5:$A$10004,AGGREGATE(15,6,(ROW(MOVIMIENTOS!$P$5:$P$10004)-ROW(MOVIMIENTOS!$P$5)+1)/(((MOVIMIENTOS!$C$5:$C$10004="Ingreso")+(MOVIMIENTOS!$C$5:$C$10004="Venta"))*(MOVIMIENTOS!$P$5:$P$10004="Pendiente")),ROWS($A$5:A104))),"")</f>
        <v/>
      </c>
      <c r="B104">
        <f>IFERROR(INDEX(MOVIMIENTOS!$B$5:$B$10004,AGGREGATE(15,6,(ROW(MOVIMIENTOS!$P$5:$P$10004)-ROW(MOVIMIENTOS!$P$5)+1)/(((MOVIMIENTOS!$C$5:$C$10004="Ingreso")+(MOVIMIENTOS!$C$5:$C$10004="Venta"))*(MOVIMIENTOS!$P$5:$P$10004="Pendiente")),ROWS($A$5:A104))),"")</f>
        <v/>
      </c>
      <c r="C104">
        <f>IFERROR(INDEX(MOVIMIENTOS!$E$5:$E$10004,AGGREGATE(15,6,(ROW(MOVIMIENTOS!$P$5:$P$10004)-ROW(MOVIMIENTOS!$P$5)+1)/(((MOVIMIENTOS!$C$5:$C$10004="Ingreso")+(MOVIMIENTOS!$C$5:$C$10004="Venta"))*(MOVIMIENTOS!$P$5:$P$10004="Pendiente")),ROWS($A$5:A104))),"")</f>
        <v/>
      </c>
      <c r="D104">
        <f>IFERROR(INDEX(MOVIMIENTOS!$D$5:$D$10004,AGGREGATE(15,6,(ROW(MOVIMIENTOS!$P$5:$P$10004)-ROW(MOVIMIENTOS!$P$5)+1)/(((MOVIMIENTOS!$C$5:$C$10004="Ingreso")+(MOVIMIENTOS!$C$5:$C$10004="Venta"))*(MOVIMIENTOS!$P$5:$P$10004="Pendiente")),ROWS($A$5:A104))),"")</f>
        <v/>
      </c>
      <c r="E104">
        <f>IFERROR(INDEX(MOVIMIENTOS!$O$5:$O$10004,AGGREGATE(15,6,(ROW(MOVIMIENTOS!$P$5:$P$10004)-ROW(MOVIMIENTOS!$P$5)+1)/(((MOVIMIENTOS!$C$5:$C$10004="Ingreso")+(MOVIMIENTOS!$C$5:$C$10004="Venta"))*(MOVIMIENTOS!$P$5:$P$10004="Pendiente")),ROWS($A$5:A104))),"")</f>
        <v/>
      </c>
      <c r="F104">
        <f>IF(A104="","",MAX(0,TODAY()-B104))</f>
        <v/>
      </c>
      <c r="G104">
        <f>IFERROR(INDEX(MOVIMIENTOS!$P$5:$P$10004,AGGREGATE(15,6,(ROW(MOVIMIENTOS!$P$5:$P$10004)-ROW(MOVIMIENTOS!$P$5)+1)/(((MOVIMIENTOS!$C$5:$C$10004="Ingreso")+(MOVIMIENTOS!$C$5:$C$10004="Venta"))*(MOVIMIENTOS!$P$5:$P$10004="Pendiente")),ROWS($A$5:A104))),"")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B7791F"/>
    <outlinePr summaryBelow="1" summaryRight="1"/>
    <pageSetUpPr/>
  </sheetPr>
  <dimension ref="A1:G104"/>
  <sheetViews>
    <sheetView workbookViewId="0">
      <selection activeCell="A1" sqref="A1"/>
    </sheetView>
  </sheetViews>
  <sheetFormatPr baseColWidth="10" defaultColWidth="9.140625" defaultRowHeight="15"/>
  <cols>
    <col width="12" customWidth="1" style="33" min="1" max="2"/>
    <col width="13" customWidth="1" style="33" min="3" max="3"/>
    <col width="15" customWidth="1" style="33" min="4" max="4"/>
    <col width="12" customWidth="1" style="33" min="5" max="5"/>
    <col width="17" customWidth="1" style="33" min="6" max="6"/>
    <col width="12" customWidth="1" style="33" min="7" max="7"/>
  </cols>
  <sheetData>
    <row r="1" ht="21" customHeight="1" s="33">
      <c r="A1" s="1" t="inlineStr">
        <is>
          <t>CXP</t>
        </is>
      </c>
    </row>
    <row r="2">
      <c r="A2" s="2" t="inlineStr">
        <is>
          <t>Movimientos pendientes de pagar (Gasto/Compra con Estado=Pendiente)</t>
        </is>
      </c>
    </row>
    <row r="4">
      <c r="A4" t="inlineStr">
        <is>
          <t>ID</t>
        </is>
      </c>
      <c r="B4" t="inlineStr">
        <is>
          <t>Fecha</t>
        </is>
      </c>
      <c r="C4" t="inlineStr">
        <is>
          <t>Tercero</t>
        </is>
      </c>
      <c r="D4" t="inlineStr">
        <is>
          <t>Documento</t>
        </is>
      </c>
      <c r="E4" t="inlineStr">
        <is>
          <t>Total</t>
        </is>
      </c>
      <c r="F4" t="inlineStr">
        <is>
          <t>DiasVencido</t>
        </is>
      </c>
      <c r="G4" t="inlineStr">
        <is>
          <t>Estado</t>
        </is>
      </c>
    </row>
    <row r="5">
      <c r="A5" s="36">
        <f>IFERROR(INDEX(MOVIMIENTOS!$A$5:$A$10004,AGGREGATE(15,6,(ROW(MOVIMIENTOS!$P$5:$P$10004)-ROW(MOVIMIENTOS!$P$5)+1)/(((MOVIMIENTOS!$C$5:$C$10004="Gasto")+(MOVIMIENTOS!$C$5:$C$10004="Compra"))*(MOVIMIENTOS!$P$5:$P$10004="Pendiente")),ROWS($A$5:A5))),"")</f>
        <v/>
      </c>
      <c r="B5">
        <f>IFERROR(INDEX(MOVIMIENTOS!$B$5:$B$10004,AGGREGATE(15,6,(ROW(MOVIMIENTOS!$P$5:$P$10004)-ROW(MOVIMIENTOS!$P$5)+1)/(((MOVIMIENTOS!$C$5:$C$10004="Gasto")+(MOVIMIENTOS!$C$5:$C$10004="Compra"))*(MOVIMIENTOS!$P$5:$P$10004="Pendiente")),ROWS($A$5:A5))),"")</f>
        <v/>
      </c>
      <c r="C5">
        <f>IFERROR(INDEX(MOVIMIENTOS!$E$5:$E$10004,AGGREGATE(15,6,(ROW(MOVIMIENTOS!$P$5:$P$10004)-ROW(MOVIMIENTOS!$P$5)+1)/(((MOVIMIENTOS!$C$5:$C$10004="Gasto")+(MOVIMIENTOS!$C$5:$C$10004="Compra"))*(MOVIMIENTOS!$P$5:$P$10004="Pendiente")),ROWS($A$5:A5))),"")</f>
        <v/>
      </c>
      <c r="D5">
        <f>IFERROR(INDEX(MOVIMIENTOS!$D$5:$D$10004,AGGREGATE(15,6,(ROW(MOVIMIENTOS!$P$5:$P$10004)-ROW(MOVIMIENTOS!$P$5)+1)/(((MOVIMIENTOS!$C$5:$C$10004="Gasto")+(MOVIMIENTOS!$C$5:$C$10004="Compra"))*(MOVIMIENTOS!$P$5:$P$10004="Pendiente")),ROWS($A$5:A5))),"")</f>
        <v/>
      </c>
      <c r="E5">
        <f>IFERROR(INDEX(MOVIMIENTOS!$O$5:$O$10004,AGGREGATE(15,6,(ROW(MOVIMIENTOS!$P$5:$P$10004)-ROW(MOVIMIENTOS!$P$5)+1)/(((MOVIMIENTOS!$C$5:$C$10004="Gasto")+(MOVIMIENTOS!$C$5:$C$10004="Compra"))*(MOVIMIENTOS!$P$5:$P$10004="Pendiente")),ROWS($A$5:A5))),"")</f>
        <v/>
      </c>
      <c r="F5">
        <f>IF(A5="","",MAX(0,TODAY()-B5))</f>
        <v/>
      </c>
      <c r="G5">
        <f>IFERROR(INDEX(MOVIMIENTOS!$P$5:$P$10004,AGGREGATE(15,6,(ROW(MOVIMIENTOS!$P$5:$P$10004)-ROW(MOVIMIENTOS!$P$5)+1)/(((MOVIMIENTOS!$C$5:$C$10004="Gasto")+(MOVIMIENTOS!$C$5:$C$10004="Compra"))*(MOVIMIENTOS!$P$5:$P$10004="Pendiente")),ROWS($A$5:A5))),"")</f>
        <v/>
      </c>
    </row>
    <row r="6">
      <c r="A6">
        <f>IFERROR(INDEX(MOVIMIENTOS!$A$5:$A$10004,AGGREGATE(15,6,(ROW(MOVIMIENTOS!$P$5:$P$10004)-ROW(MOVIMIENTOS!$P$5)+1)/(((MOVIMIENTOS!$C$5:$C$10004="Gasto")+(MOVIMIENTOS!$C$5:$C$10004="Compra"))*(MOVIMIENTOS!$P$5:$P$10004="Pendiente")),ROWS($A$5:A6))),"")</f>
        <v/>
      </c>
      <c r="B6">
        <f>IFERROR(INDEX(MOVIMIENTOS!$B$5:$B$10004,AGGREGATE(15,6,(ROW(MOVIMIENTOS!$P$5:$P$10004)-ROW(MOVIMIENTOS!$P$5)+1)/(((MOVIMIENTOS!$C$5:$C$10004="Gasto")+(MOVIMIENTOS!$C$5:$C$10004="Compra"))*(MOVIMIENTOS!$P$5:$P$10004="Pendiente")),ROWS($A$5:A6))),"")</f>
        <v/>
      </c>
      <c r="C6">
        <f>IFERROR(INDEX(MOVIMIENTOS!$E$5:$E$10004,AGGREGATE(15,6,(ROW(MOVIMIENTOS!$P$5:$P$10004)-ROW(MOVIMIENTOS!$P$5)+1)/(((MOVIMIENTOS!$C$5:$C$10004="Gasto")+(MOVIMIENTOS!$C$5:$C$10004="Compra"))*(MOVIMIENTOS!$P$5:$P$10004="Pendiente")),ROWS($A$5:A6))),"")</f>
        <v/>
      </c>
      <c r="D6">
        <f>IFERROR(INDEX(MOVIMIENTOS!$D$5:$D$10004,AGGREGATE(15,6,(ROW(MOVIMIENTOS!$P$5:$P$10004)-ROW(MOVIMIENTOS!$P$5)+1)/(((MOVIMIENTOS!$C$5:$C$10004="Gasto")+(MOVIMIENTOS!$C$5:$C$10004="Compra"))*(MOVIMIENTOS!$P$5:$P$10004="Pendiente")),ROWS($A$5:A6))),"")</f>
        <v/>
      </c>
      <c r="E6">
        <f>IFERROR(INDEX(MOVIMIENTOS!$O$5:$O$10004,AGGREGATE(15,6,(ROW(MOVIMIENTOS!$P$5:$P$10004)-ROW(MOVIMIENTOS!$P$5)+1)/(((MOVIMIENTOS!$C$5:$C$10004="Gasto")+(MOVIMIENTOS!$C$5:$C$10004="Compra"))*(MOVIMIENTOS!$P$5:$P$10004="Pendiente")),ROWS($A$5:A6))),"")</f>
        <v/>
      </c>
      <c r="F6">
        <f>IF(A6="","",MAX(0,TODAY()-B6))</f>
        <v/>
      </c>
      <c r="G6">
        <f>IFERROR(INDEX(MOVIMIENTOS!$P$5:$P$10004,AGGREGATE(15,6,(ROW(MOVIMIENTOS!$P$5:$P$10004)-ROW(MOVIMIENTOS!$P$5)+1)/(((MOVIMIENTOS!$C$5:$C$10004="Gasto")+(MOVIMIENTOS!$C$5:$C$10004="Compra"))*(MOVIMIENTOS!$P$5:$P$10004="Pendiente")),ROWS($A$5:A6))),"")</f>
        <v/>
      </c>
    </row>
    <row r="7">
      <c r="A7">
        <f>IFERROR(INDEX(MOVIMIENTOS!$A$5:$A$10004,AGGREGATE(15,6,(ROW(MOVIMIENTOS!$P$5:$P$10004)-ROW(MOVIMIENTOS!$P$5)+1)/(((MOVIMIENTOS!$C$5:$C$10004="Gasto")+(MOVIMIENTOS!$C$5:$C$10004="Compra"))*(MOVIMIENTOS!$P$5:$P$10004="Pendiente")),ROWS($A$5:A7))),"")</f>
        <v/>
      </c>
      <c r="B7">
        <f>IFERROR(INDEX(MOVIMIENTOS!$B$5:$B$10004,AGGREGATE(15,6,(ROW(MOVIMIENTOS!$P$5:$P$10004)-ROW(MOVIMIENTOS!$P$5)+1)/(((MOVIMIENTOS!$C$5:$C$10004="Gasto")+(MOVIMIENTOS!$C$5:$C$10004="Compra"))*(MOVIMIENTOS!$P$5:$P$10004="Pendiente")),ROWS($A$5:A7))),"")</f>
        <v/>
      </c>
      <c r="C7">
        <f>IFERROR(INDEX(MOVIMIENTOS!$E$5:$E$10004,AGGREGATE(15,6,(ROW(MOVIMIENTOS!$P$5:$P$10004)-ROW(MOVIMIENTOS!$P$5)+1)/(((MOVIMIENTOS!$C$5:$C$10004="Gasto")+(MOVIMIENTOS!$C$5:$C$10004="Compra"))*(MOVIMIENTOS!$P$5:$P$10004="Pendiente")),ROWS($A$5:A7))),"")</f>
        <v/>
      </c>
      <c r="D7">
        <f>IFERROR(INDEX(MOVIMIENTOS!$D$5:$D$10004,AGGREGATE(15,6,(ROW(MOVIMIENTOS!$P$5:$P$10004)-ROW(MOVIMIENTOS!$P$5)+1)/(((MOVIMIENTOS!$C$5:$C$10004="Gasto")+(MOVIMIENTOS!$C$5:$C$10004="Compra"))*(MOVIMIENTOS!$P$5:$P$10004="Pendiente")),ROWS($A$5:A7))),"")</f>
        <v/>
      </c>
      <c r="E7">
        <f>IFERROR(INDEX(MOVIMIENTOS!$O$5:$O$10004,AGGREGATE(15,6,(ROW(MOVIMIENTOS!$P$5:$P$10004)-ROW(MOVIMIENTOS!$P$5)+1)/(((MOVIMIENTOS!$C$5:$C$10004="Gasto")+(MOVIMIENTOS!$C$5:$C$10004="Compra"))*(MOVIMIENTOS!$P$5:$P$10004="Pendiente")),ROWS($A$5:A7))),"")</f>
        <v/>
      </c>
      <c r="F7">
        <f>IF(A7="","",MAX(0,TODAY()-B7))</f>
        <v/>
      </c>
      <c r="G7">
        <f>IFERROR(INDEX(MOVIMIENTOS!$P$5:$P$10004,AGGREGATE(15,6,(ROW(MOVIMIENTOS!$P$5:$P$10004)-ROW(MOVIMIENTOS!$P$5)+1)/(((MOVIMIENTOS!$C$5:$C$10004="Gasto")+(MOVIMIENTOS!$C$5:$C$10004="Compra"))*(MOVIMIENTOS!$P$5:$P$10004="Pendiente")),ROWS($A$5:A7))),"")</f>
        <v/>
      </c>
    </row>
    <row r="8">
      <c r="A8">
        <f>IFERROR(INDEX(MOVIMIENTOS!$A$5:$A$10004,AGGREGATE(15,6,(ROW(MOVIMIENTOS!$P$5:$P$10004)-ROW(MOVIMIENTOS!$P$5)+1)/(((MOVIMIENTOS!$C$5:$C$10004="Gasto")+(MOVIMIENTOS!$C$5:$C$10004="Compra"))*(MOVIMIENTOS!$P$5:$P$10004="Pendiente")),ROWS($A$5:A8))),"")</f>
        <v/>
      </c>
      <c r="B8">
        <f>IFERROR(INDEX(MOVIMIENTOS!$B$5:$B$10004,AGGREGATE(15,6,(ROW(MOVIMIENTOS!$P$5:$P$10004)-ROW(MOVIMIENTOS!$P$5)+1)/(((MOVIMIENTOS!$C$5:$C$10004="Gasto")+(MOVIMIENTOS!$C$5:$C$10004="Compra"))*(MOVIMIENTOS!$P$5:$P$10004="Pendiente")),ROWS($A$5:A8))),"")</f>
        <v/>
      </c>
      <c r="C8">
        <f>IFERROR(INDEX(MOVIMIENTOS!$E$5:$E$10004,AGGREGATE(15,6,(ROW(MOVIMIENTOS!$P$5:$P$10004)-ROW(MOVIMIENTOS!$P$5)+1)/(((MOVIMIENTOS!$C$5:$C$10004="Gasto")+(MOVIMIENTOS!$C$5:$C$10004="Compra"))*(MOVIMIENTOS!$P$5:$P$10004="Pendiente")),ROWS($A$5:A8))),"")</f>
        <v/>
      </c>
      <c r="D8">
        <f>IFERROR(INDEX(MOVIMIENTOS!$D$5:$D$10004,AGGREGATE(15,6,(ROW(MOVIMIENTOS!$P$5:$P$10004)-ROW(MOVIMIENTOS!$P$5)+1)/(((MOVIMIENTOS!$C$5:$C$10004="Gasto")+(MOVIMIENTOS!$C$5:$C$10004="Compra"))*(MOVIMIENTOS!$P$5:$P$10004="Pendiente")),ROWS($A$5:A8))),"")</f>
        <v/>
      </c>
      <c r="E8">
        <f>IFERROR(INDEX(MOVIMIENTOS!$O$5:$O$10004,AGGREGATE(15,6,(ROW(MOVIMIENTOS!$P$5:$P$10004)-ROW(MOVIMIENTOS!$P$5)+1)/(((MOVIMIENTOS!$C$5:$C$10004="Gasto")+(MOVIMIENTOS!$C$5:$C$10004="Compra"))*(MOVIMIENTOS!$P$5:$P$10004="Pendiente")),ROWS($A$5:A8))),"")</f>
        <v/>
      </c>
      <c r="F8">
        <f>IF(A8="","",MAX(0,TODAY()-B8))</f>
        <v/>
      </c>
      <c r="G8">
        <f>IFERROR(INDEX(MOVIMIENTOS!$P$5:$P$10004,AGGREGATE(15,6,(ROW(MOVIMIENTOS!$P$5:$P$10004)-ROW(MOVIMIENTOS!$P$5)+1)/(((MOVIMIENTOS!$C$5:$C$10004="Gasto")+(MOVIMIENTOS!$C$5:$C$10004="Compra"))*(MOVIMIENTOS!$P$5:$P$10004="Pendiente")),ROWS($A$5:A8))),"")</f>
        <v/>
      </c>
    </row>
    <row r="9">
      <c r="A9">
        <f>IFERROR(INDEX(MOVIMIENTOS!$A$5:$A$10004,AGGREGATE(15,6,(ROW(MOVIMIENTOS!$P$5:$P$10004)-ROW(MOVIMIENTOS!$P$5)+1)/(((MOVIMIENTOS!$C$5:$C$10004="Gasto")+(MOVIMIENTOS!$C$5:$C$10004="Compra"))*(MOVIMIENTOS!$P$5:$P$10004="Pendiente")),ROWS($A$5:A9))),"")</f>
        <v/>
      </c>
      <c r="B9">
        <f>IFERROR(INDEX(MOVIMIENTOS!$B$5:$B$10004,AGGREGATE(15,6,(ROW(MOVIMIENTOS!$P$5:$P$10004)-ROW(MOVIMIENTOS!$P$5)+1)/(((MOVIMIENTOS!$C$5:$C$10004="Gasto")+(MOVIMIENTOS!$C$5:$C$10004="Compra"))*(MOVIMIENTOS!$P$5:$P$10004="Pendiente")),ROWS($A$5:A9))),"")</f>
        <v/>
      </c>
      <c r="C9">
        <f>IFERROR(INDEX(MOVIMIENTOS!$E$5:$E$10004,AGGREGATE(15,6,(ROW(MOVIMIENTOS!$P$5:$P$10004)-ROW(MOVIMIENTOS!$P$5)+1)/(((MOVIMIENTOS!$C$5:$C$10004="Gasto")+(MOVIMIENTOS!$C$5:$C$10004="Compra"))*(MOVIMIENTOS!$P$5:$P$10004="Pendiente")),ROWS($A$5:A9))),"")</f>
        <v/>
      </c>
      <c r="D9">
        <f>IFERROR(INDEX(MOVIMIENTOS!$D$5:$D$10004,AGGREGATE(15,6,(ROW(MOVIMIENTOS!$P$5:$P$10004)-ROW(MOVIMIENTOS!$P$5)+1)/(((MOVIMIENTOS!$C$5:$C$10004="Gasto")+(MOVIMIENTOS!$C$5:$C$10004="Compra"))*(MOVIMIENTOS!$P$5:$P$10004="Pendiente")),ROWS($A$5:A9))),"")</f>
        <v/>
      </c>
      <c r="E9">
        <f>IFERROR(INDEX(MOVIMIENTOS!$O$5:$O$10004,AGGREGATE(15,6,(ROW(MOVIMIENTOS!$P$5:$P$10004)-ROW(MOVIMIENTOS!$P$5)+1)/(((MOVIMIENTOS!$C$5:$C$10004="Gasto")+(MOVIMIENTOS!$C$5:$C$10004="Compra"))*(MOVIMIENTOS!$P$5:$P$10004="Pendiente")),ROWS($A$5:A9))),"")</f>
        <v/>
      </c>
      <c r="F9">
        <f>IF(A9="","",MAX(0,TODAY()-B9))</f>
        <v/>
      </c>
      <c r="G9">
        <f>IFERROR(INDEX(MOVIMIENTOS!$P$5:$P$10004,AGGREGATE(15,6,(ROW(MOVIMIENTOS!$P$5:$P$10004)-ROW(MOVIMIENTOS!$P$5)+1)/(((MOVIMIENTOS!$C$5:$C$10004="Gasto")+(MOVIMIENTOS!$C$5:$C$10004="Compra"))*(MOVIMIENTOS!$P$5:$P$10004="Pendiente")),ROWS($A$5:A9))),"")</f>
        <v/>
      </c>
    </row>
    <row r="10">
      <c r="A10">
        <f>IFERROR(INDEX(MOVIMIENTOS!$A$5:$A$10004,AGGREGATE(15,6,(ROW(MOVIMIENTOS!$P$5:$P$10004)-ROW(MOVIMIENTOS!$P$5)+1)/(((MOVIMIENTOS!$C$5:$C$10004="Gasto")+(MOVIMIENTOS!$C$5:$C$10004="Compra"))*(MOVIMIENTOS!$P$5:$P$10004="Pendiente")),ROWS($A$5:A10))),"")</f>
        <v/>
      </c>
      <c r="B10">
        <f>IFERROR(INDEX(MOVIMIENTOS!$B$5:$B$10004,AGGREGATE(15,6,(ROW(MOVIMIENTOS!$P$5:$P$10004)-ROW(MOVIMIENTOS!$P$5)+1)/(((MOVIMIENTOS!$C$5:$C$10004="Gasto")+(MOVIMIENTOS!$C$5:$C$10004="Compra"))*(MOVIMIENTOS!$P$5:$P$10004="Pendiente")),ROWS($A$5:A10))),"")</f>
        <v/>
      </c>
      <c r="C10">
        <f>IFERROR(INDEX(MOVIMIENTOS!$E$5:$E$10004,AGGREGATE(15,6,(ROW(MOVIMIENTOS!$P$5:$P$10004)-ROW(MOVIMIENTOS!$P$5)+1)/(((MOVIMIENTOS!$C$5:$C$10004="Gasto")+(MOVIMIENTOS!$C$5:$C$10004="Compra"))*(MOVIMIENTOS!$P$5:$P$10004="Pendiente")),ROWS($A$5:A10))),"")</f>
        <v/>
      </c>
      <c r="D10">
        <f>IFERROR(INDEX(MOVIMIENTOS!$D$5:$D$10004,AGGREGATE(15,6,(ROW(MOVIMIENTOS!$P$5:$P$10004)-ROW(MOVIMIENTOS!$P$5)+1)/(((MOVIMIENTOS!$C$5:$C$10004="Gasto")+(MOVIMIENTOS!$C$5:$C$10004="Compra"))*(MOVIMIENTOS!$P$5:$P$10004="Pendiente")),ROWS($A$5:A10))),"")</f>
        <v/>
      </c>
      <c r="E10">
        <f>IFERROR(INDEX(MOVIMIENTOS!$O$5:$O$10004,AGGREGATE(15,6,(ROW(MOVIMIENTOS!$P$5:$P$10004)-ROW(MOVIMIENTOS!$P$5)+1)/(((MOVIMIENTOS!$C$5:$C$10004="Gasto")+(MOVIMIENTOS!$C$5:$C$10004="Compra"))*(MOVIMIENTOS!$P$5:$P$10004="Pendiente")),ROWS($A$5:A10))),"")</f>
        <v/>
      </c>
      <c r="F10">
        <f>IF(A10="","",MAX(0,TODAY()-B10))</f>
        <v/>
      </c>
      <c r="G10">
        <f>IFERROR(INDEX(MOVIMIENTOS!$P$5:$P$10004,AGGREGATE(15,6,(ROW(MOVIMIENTOS!$P$5:$P$10004)-ROW(MOVIMIENTOS!$P$5)+1)/(((MOVIMIENTOS!$C$5:$C$10004="Gasto")+(MOVIMIENTOS!$C$5:$C$10004="Compra"))*(MOVIMIENTOS!$P$5:$P$10004="Pendiente")),ROWS($A$5:A10))),"")</f>
        <v/>
      </c>
    </row>
    <row r="11">
      <c r="A11">
        <f>IFERROR(INDEX(MOVIMIENTOS!$A$5:$A$10004,AGGREGATE(15,6,(ROW(MOVIMIENTOS!$P$5:$P$10004)-ROW(MOVIMIENTOS!$P$5)+1)/(((MOVIMIENTOS!$C$5:$C$10004="Gasto")+(MOVIMIENTOS!$C$5:$C$10004="Compra"))*(MOVIMIENTOS!$P$5:$P$10004="Pendiente")),ROWS($A$5:A11))),"")</f>
        <v/>
      </c>
      <c r="B11">
        <f>IFERROR(INDEX(MOVIMIENTOS!$B$5:$B$10004,AGGREGATE(15,6,(ROW(MOVIMIENTOS!$P$5:$P$10004)-ROW(MOVIMIENTOS!$P$5)+1)/(((MOVIMIENTOS!$C$5:$C$10004="Gasto")+(MOVIMIENTOS!$C$5:$C$10004="Compra"))*(MOVIMIENTOS!$P$5:$P$10004="Pendiente")),ROWS($A$5:A11))),"")</f>
        <v/>
      </c>
      <c r="C11">
        <f>IFERROR(INDEX(MOVIMIENTOS!$E$5:$E$10004,AGGREGATE(15,6,(ROW(MOVIMIENTOS!$P$5:$P$10004)-ROW(MOVIMIENTOS!$P$5)+1)/(((MOVIMIENTOS!$C$5:$C$10004="Gasto")+(MOVIMIENTOS!$C$5:$C$10004="Compra"))*(MOVIMIENTOS!$P$5:$P$10004="Pendiente")),ROWS($A$5:A11))),"")</f>
        <v/>
      </c>
      <c r="D11">
        <f>IFERROR(INDEX(MOVIMIENTOS!$D$5:$D$10004,AGGREGATE(15,6,(ROW(MOVIMIENTOS!$P$5:$P$10004)-ROW(MOVIMIENTOS!$P$5)+1)/(((MOVIMIENTOS!$C$5:$C$10004="Gasto")+(MOVIMIENTOS!$C$5:$C$10004="Compra"))*(MOVIMIENTOS!$P$5:$P$10004="Pendiente")),ROWS($A$5:A11))),"")</f>
        <v/>
      </c>
      <c r="E11">
        <f>IFERROR(INDEX(MOVIMIENTOS!$O$5:$O$10004,AGGREGATE(15,6,(ROW(MOVIMIENTOS!$P$5:$P$10004)-ROW(MOVIMIENTOS!$P$5)+1)/(((MOVIMIENTOS!$C$5:$C$10004="Gasto")+(MOVIMIENTOS!$C$5:$C$10004="Compra"))*(MOVIMIENTOS!$P$5:$P$10004="Pendiente")),ROWS($A$5:A11))),"")</f>
        <v/>
      </c>
      <c r="F11">
        <f>IF(A11="","",MAX(0,TODAY()-B11))</f>
        <v/>
      </c>
      <c r="G11">
        <f>IFERROR(INDEX(MOVIMIENTOS!$P$5:$P$10004,AGGREGATE(15,6,(ROW(MOVIMIENTOS!$P$5:$P$10004)-ROW(MOVIMIENTOS!$P$5)+1)/(((MOVIMIENTOS!$C$5:$C$10004="Gasto")+(MOVIMIENTOS!$C$5:$C$10004="Compra"))*(MOVIMIENTOS!$P$5:$P$10004="Pendiente")),ROWS($A$5:A11))),"")</f>
        <v/>
      </c>
    </row>
    <row r="12">
      <c r="A12">
        <f>IFERROR(INDEX(MOVIMIENTOS!$A$5:$A$10004,AGGREGATE(15,6,(ROW(MOVIMIENTOS!$P$5:$P$10004)-ROW(MOVIMIENTOS!$P$5)+1)/(((MOVIMIENTOS!$C$5:$C$10004="Gasto")+(MOVIMIENTOS!$C$5:$C$10004="Compra"))*(MOVIMIENTOS!$P$5:$P$10004="Pendiente")),ROWS($A$5:A12))),"")</f>
        <v/>
      </c>
      <c r="B12">
        <f>IFERROR(INDEX(MOVIMIENTOS!$B$5:$B$10004,AGGREGATE(15,6,(ROW(MOVIMIENTOS!$P$5:$P$10004)-ROW(MOVIMIENTOS!$P$5)+1)/(((MOVIMIENTOS!$C$5:$C$10004="Gasto")+(MOVIMIENTOS!$C$5:$C$10004="Compra"))*(MOVIMIENTOS!$P$5:$P$10004="Pendiente")),ROWS($A$5:A12))),"")</f>
        <v/>
      </c>
      <c r="C12">
        <f>IFERROR(INDEX(MOVIMIENTOS!$E$5:$E$10004,AGGREGATE(15,6,(ROW(MOVIMIENTOS!$P$5:$P$10004)-ROW(MOVIMIENTOS!$P$5)+1)/(((MOVIMIENTOS!$C$5:$C$10004="Gasto")+(MOVIMIENTOS!$C$5:$C$10004="Compra"))*(MOVIMIENTOS!$P$5:$P$10004="Pendiente")),ROWS($A$5:A12))),"")</f>
        <v/>
      </c>
      <c r="D12">
        <f>IFERROR(INDEX(MOVIMIENTOS!$D$5:$D$10004,AGGREGATE(15,6,(ROW(MOVIMIENTOS!$P$5:$P$10004)-ROW(MOVIMIENTOS!$P$5)+1)/(((MOVIMIENTOS!$C$5:$C$10004="Gasto")+(MOVIMIENTOS!$C$5:$C$10004="Compra"))*(MOVIMIENTOS!$P$5:$P$10004="Pendiente")),ROWS($A$5:A12))),"")</f>
        <v/>
      </c>
      <c r="E12">
        <f>IFERROR(INDEX(MOVIMIENTOS!$O$5:$O$10004,AGGREGATE(15,6,(ROW(MOVIMIENTOS!$P$5:$P$10004)-ROW(MOVIMIENTOS!$P$5)+1)/(((MOVIMIENTOS!$C$5:$C$10004="Gasto")+(MOVIMIENTOS!$C$5:$C$10004="Compra"))*(MOVIMIENTOS!$P$5:$P$10004="Pendiente")),ROWS($A$5:A12))),"")</f>
        <v/>
      </c>
      <c r="F12">
        <f>IF(A12="","",MAX(0,TODAY()-B12))</f>
        <v/>
      </c>
      <c r="G12">
        <f>IFERROR(INDEX(MOVIMIENTOS!$P$5:$P$10004,AGGREGATE(15,6,(ROW(MOVIMIENTOS!$P$5:$P$10004)-ROW(MOVIMIENTOS!$P$5)+1)/(((MOVIMIENTOS!$C$5:$C$10004="Gasto")+(MOVIMIENTOS!$C$5:$C$10004="Compra"))*(MOVIMIENTOS!$P$5:$P$10004="Pendiente")),ROWS($A$5:A12))),"")</f>
        <v/>
      </c>
    </row>
    <row r="13">
      <c r="A13">
        <f>IFERROR(INDEX(MOVIMIENTOS!$A$5:$A$10004,AGGREGATE(15,6,(ROW(MOVIMIENTOS!$P$5:$P$10004)-ROW(MOVIMIENTOS!$P$5)+1)/(((MOVIMIENTOS!$C$5:$C$10004="Gasto")+(MOVIMIENTOS!$C$5:$C$10004="Compra"))*(MOVIMIENTOS!$P$5:$P$10004="Pendiente")),ROWS($A$5:A13))),"")</f>
        <v/>
      </c>
      <c r="B13">
        <f>IFERROR(INDEX(MOVIMIENTOS!$B$5:$B$10004,AGGREGATE(15,6,(ROW(MOVIMIENTOS!$P$5:$P$10004)-ROW(MOVIMIENTOS!$P$5)+1)/(((MOVIMIENTOS!$C$5:$C$10004="Gasto")+(MOVIMIENTOS!$C$5:$C$10004="Compra"))*(MOVIMIENTOS!$P$5:$P$10004="Pendiente")),ROWS($A$5:A13))),"")</f>
        <v/>
      </c>
      <c r="C13">
        <f>IFERROR(INDEX(MOVIMIENTOS!$E$5:$E$10004,AGGREGATE(15,6,(ROW(MOVIMIENTOS!$P$5:$P$10004)-ROW(MOVIMIENTOS!$P$5)+1)/(((MOVIMIENTOS!$C$5:$C$10004="Gasto")+(MOVIMIENTOS!$C$5:$C$10004="Compra"))*(MOVIMIENTOS!$P$5:$P$10004="Pendiente")),ROWS($A$5:A13))),"")</f>
        <v/>
      </c>
      <c r="D13">
        <f>IFERROR(INDEX(MOVIMIENTOS!$D$5:$D$10004,AGGREGATE(15,6,(ROW(MOVIMIENTOS!$P$5:$P$10004)-ROW(MOVIMIENTOS!$P$5)+1)/(((MOVIMIENTOS!$C$5:$C$10004="Gasto")+(MOVIMIENTOS!$C$5:$C$10004="Compra"))*(MOVIMIENTOS!$P$5:$P$10004="Pendiente")),ROWS($A$5:A13))),"")</f>
        <v/>
      </c>
      <c r="E13">
        <f>IFERROR(INDEX(MOVIMIENTOS!$O$5:$O$10004,AGGREGATE(15,6,(ROW(MOVIMIENTOS!$P$5:$P$10004)-ROW(MOVIMIENTOS!$P$5)+1)/(((MOVIMIENTOS!$C$5:$C$10004="Gasto")+(MOVIMIENTOS!$C$5:$C$10004="Compra"))*(MOVIMIENTOS!$P$5:$P$10004="Pendiente")),ROWS($A$5:A13))),"")</f>
        <v/>
      </c>
      <c r="F13">
        <f>IF(A13="","",MAX(0,TODAY()-B13))</f>
        <v/>
      </c>
      <c r="G13">
        <f>IFERROR(INDEX(MOVIMIENTOS!$P$5:$P$10004,AGGREGATE(15,6,(ROW(MOVIMIENTOS!$P$5:$P$10004)-ROW(MOVIMIENTOS!$P$5)+1)/(((MOVIMIENTOS!$C$5:$C$10004="Gasto")+(MOVIMIENTOS!$C$5:$C$10004="Compra"))*(MOVIMIENTOS!$P$5:$P$10004="Pendiente")),ROWS($A$5:A13))),"")</f>
        <v/>
      </c>
    </row>
    <row r="14">
      <c r="A14">
        <f>IFERROR(INDEX(MOVIMIENTOS!$A$5:$A$10004,AGGREGATE(15,6,(ROW(MOVIMIENTOS!$P$5:$P$10004)-ROW(MOVIMIENTOS!$P$5)+1)/(((MOVIMIENTOS!$C$5:$C$10004="Gasto")+(MOVIMIENTOS!$C$5:$C$10004="Compra"))*(MOVIMIENTOS!$P$5:$P$10004="Pendiente")),ROWS($A$5:A14))),"")</f>
        <v/>
      </c>
      <c r="B14">
        <f>IFERROR(INDEX(MOVIMIENTOS!$B$5:$B$10004,AGGREGATE(15,6,(ROW(MOVIMIENTOS!$P$5:$P$10004)-ROW(MOVIMIENTOS!$P$5)+1)/(((MOVIMIENTOS!$C$5:$C$10004="Gasto")+(MOVIMIENTOS!$C$5:$C$10004="Compra"))*(MOVIMIENTOS!$P$5:$P$10004="Pendiente")),ROWS($A$5:A14))),"")</f>
        <v/>
      </c>
      <c r="C14">
        <f>IFERROR(INDEX(MOVIMIENTOS!$E$5:$E$10004,AGGREGATE(15,6,(ROW(MOVIMIENTOS!$P$5:$P$10004)-ROW(MOVIMIENTOS!$P$5)+1)/(((MOVIMIENTOS!$C$5:$C$10004="Gasto")+(MOVIMIENTOS!$C$5:$C$10004="Compra"))*(MOVIMIENTOS!$P$5:$P$10004="Pendiente")),ROWS($A$5:A14))),"")</f>
        <v/>
      </c>
      <c r="D14">
        <f>IFERROR(INDEX(MOVIMIENTOS!$D$5:$D$10004,AGGREGATE(15,6,(ROW(MOVIMIENTOS!$P$5:$P$10004)-ROW(MOVIMIENTOS!$P$5)+1)/(((MOVIMIENTOS!$C$5:$C$10004="Gasto")+(MOVIMIENTOS!$C$5:$C$10004="Compra"))*(MOVIMIENTOS!$P$5:$P$10004="Pendiente")),ROWS($A$5:A14))),"")</f>
        <v/>
      </c>
      <c r="E14">
        <f>IFERROR(INDEX(MOVIMIENTOS!$O$5:$O$10004,AGGREGATE(15,6,(ROW(MOVIMIENTOS!$P$5:$P$10004)-ROW(MOVIMIENTOS!$P$5)+1)/(((MOVIMIENTOS!$C$5:$C$10004="Gasto")+(MOVIMIENTOS!$C$5:$C$10004="Compra"))*(MOVIMIENTOS!$P$5:$P$10004="Pendiente")),ROWS($A$5:A14))),"")</f>
        <v/>
      </c>
      <c r="F14">
        <f>IF(A14="","",MAX(0,TODAY()-B14))</f>
        <v/>
      </c>
      <c r="G14">
        <f>IFERROR(INDEX(MOVIMIENTOS!$P$5:$P$10004,AGGREGATE(15,6,(ROW(MOVIMIENTOS!$P$5:$P$10004)-ROW(MOVIMIENTOS!$P$5)+1)/(((MOVIMIENTOS!$C$5:$C$10004="Gasto")+(MOVIMIENTOS!$C$5:$C$10004="Compra"))*(MOVIMIENTOS!$P$5:$P$10004="Pendiente")),ROWS($A$5:A14))),"")</f>
        <v/>
      </c>
    </row>
    <row r="15">
      <c r="A15">
        <f>IFERROR(INDEX(MOVIMIENTOS!$A$5:$A$10004,AGGREGATE(15,6,(ROW(MOVIMIENTOS!$P$5:$P$10004)-ROW(MOVIMIENTOS!$P$5)+1)/(((MOVIMIENTOS!$C$5:$C$10004="Gasto")+(MOVIMIENTOS!$C$5:$C$10004="Compra"))*(MOVIMIENTOS!$P$5:$P$10004="Pendiente")),ROWS($A$5:A15))),"")</f>
        <v/>
      </c>
      <c r="B15">
        <f>IFERROR(INDEX(MOVIMIENTOS!$B$5:$B$10004,AGGREGATE(15,6,(ROW(MOVIMIENTOS!$P$5:$P$10004)-ROW(MOVIMIENTOS!$P$5)+1)/(((MOVIMIENTOS!$C$5:$C$10004="Gasto")+(MOVIMIENTOS!$C$5:$C$10004="Compra"))*(MOVIMIENTOS!$P$5:$P$10004="Pendiente")),ROWS($A$5:A15))),"")</f>
        <v/>
      </c>
      <c r="C15">
        <f>IFERROR(INDEX(MOVIMIENTOS!$E$5:$E$10004,AGGREGATE(15,6,(ROW(MOVIMIENTOS!$P$5:$P$10004)-ROW(MOVIMIENTOS!$P$5)+1)/(((MOVIMIENTOS!$C$5:$C$10004="Gasto")+(MOVIMIENTOS!$C$5:$C$10004="Compra"))*(MOVIMIENTOS!$P$5:$P$10004="Pendiente")),ROWS($A$5:A15))),"")</f>
        <v/>
      </c>
      <c r="D15">
        <f>IFERROR(INDEX(MOVIMIENTOS!$D$5:$D$10004,AGGREGATE(15,6,(ROW(MOVIMIENTOS!$P$5:$P$10004)-ROW(MOVIMIENTOS!$P$5)+1)/(((MOVIMIENTOS!$C$5:$C$10004="Gasto")+(MOVIMIENTOS!$C$5:$C$10004="Compra"))*(MOVIMIENTOS!$P$5:$P$10004="Pendiente")),ROWS($A$5:A15))),"")</f>
        <v/>
      </c>
      <c r="E15">
        <f>IFERROR(INDEX(MOVIMIENTOS!$O$5:$O$10004,AGGREGATE(15,6,(ROW(MOVIMIENTOS!$P$5:$P$10004)-ROW(MOVIMIENTOS!$P$5)+1)/(((MOVIMIENTOS!$C$5:$C$10004="Gasto")+(MOVIMIENTOS!$C$5:$C$10004="Compra"))*(MOVIMIENTOS!$P$5:$P$10004="Pendiente")),ROWS($A$5:A15))),"")</f>
        <v/>
      </c>
      <c r="F15">
        <f>IF(A15="","",MAX(0,TODAY()-B15))</f>
        <v/>
      </c>
      <c r="G15">
        <f>IFERROR(INDEX(MOVIMIENTOS!$P$5:$P$10004,AGGREGATE(15,6,(ROW(MOVIMIENTOS!$P$5:$P$10004)-ROW(MOVIMIENTOS!$P$5)+1)/(((MOVIMIENTOS!$C$5:$C$10004="Gasto")+(MOVIMIENTOS!$C$5:$C$10004="Compra"))*(MOVIMIENTOS!$P$5:$P$10004="Pendiente")),ROWS($A$5:A15))),"")</f>
        <v/>
      </c>
    </row>
    <row r="16">
      <c r="A16">
        <f>IFERROR(INDEX(MOVIMIENTOS!$A$5:$A$10004,AGGREGATE(15,6,(ROW(MOVIMIENTOS!$P$5:$P$10004)-ROW(MOVIMIENTOS!$P$5)+1)/(((MOVIMIENTOS!$C$5:$C$10004="Gasto")+(MOVIMIENTOS!$C$5:$C$10004="Compra"))*(MOVIMIENTOS!$P$5:$P$10004="Pendiente")),ROWS($A$5:A16))),"")</f>
        <v/>
      </c>
      <c r="B16">
        <f>IFERROR(INDEX(MOVIMIENTOS!$B$5:$B$10004,AGGREGATE(15,6,(ROW(MOVIMIENTOS!$P$5:$P$10004)-ROW(MOVIMIENTOS!$P$5)+1)/(((MOVIMIENTOS!$C$5:$C$10004="Gasto")+(MOVIMIENTOS!$C$5:$C$10004="Compra"))*(MOVIMIENTOS!$P$5:$P$10004="Pendiente")),ROWS($A$5:A16))),"")</f>
        <v/>
      </c>
      <c r="C16">
        <f>IFERROR(INDEX(MOVIMIENTOS!$E$5:$E$10004,AGGREGATE(15,6,(ROW(MOVIMIENTOS!$P$5:$P$10004)-ROW(MOVIMIENTOS!$P$5)+1)/(((MOVIMIENTOS!$C$5:$C$10004="Gasto")+(MOVIMIENTOS!$C$5:$C$10004="Compra"))*(MOVIMIENTOS!$P$5:$P$10004="Pendiente")),ROWS($A$5:A16))),"")</f>
        <v/>
      </c>
      <c r="D16">
        <f>IFERROR(INDEX(MOVIMIENTOS!$D$5:$D$10004,AGGREGATE(15,6,(ROW(MOVIMIENTOS!$P$5:$P$10004)-ROW(MOVIMIENTOS!$P$5)+1)/(((MOVIMIENTOS!$C$5:$C$10004="Gasto")+(MOVIMIENTOS!$C$5:$C$10004="Compra"))*(MOVIMIENTOS!$P$5:$P$10004="Pendiente")),ROWS($A$5:A16))),"")</f>
        <v/>
      </c>
      <c r="E16">
        <f>IFERROR(INDEX(MOVIMIENTOS!$O$5:$O$10004,AGGREGATE(15,6,(ROW(MOVIMIENTOS!$P$5:$P$10004)-ROW(MOVIMIENTOS!$P$5)+1)/(((MOVIMIENTOS!$C$5:$C$10004="Gasto")+(MOVIMIENTOS!$C$5:$C$10004="Compra"))*(MOVIMIENTOS!$P$5:$P$10004="Pendiente")),ROWS($A$5:A16))),"")</f>
        <v/>
      </c>
      <c r="F16">
        <f>IF(A16="","",MAX(0,TODAY()-B16))</f>
        <v/>
      </c>
      <c r="G16">
        <f>IFERROR(INDEX(MOVIMIENTOS!$P$5:$P$10004,AGGREGATE(15,6,(ROW(MOVIMIENTOS!$P$5:$P$10004)-ROW(MOVIMIENTOS!$P$5)+1)/(((MOVIMIENTOS!$C$5:$C$10004="Gasto")+(MOVIMIENTOS!$C$5:$C$10004="Compra"))*(MOVIMIENTOS!$P$5:$P$10004="Pendiente")),ROWS($A$5:A16))),"")</f>
        <v/>
      </c>
    </row>
    <row r="17">
      <c r="A17">
        <f>IFERROR(INDEX(MOVIMIENTOS!$A$5:$A$10004,AGGREGATE(15,6,(ROW(MOVIMIENTOS!$P$5:$P$10004)-ROW(MOVIMIENTOS!$P$5)+1)/(((MOVIMIENTOS!$C$5:$C$10004="Gasto")+(MOVIMIENTOS!$C$5:$C$10004="Compra"))*(MOVIMIENTOS!$P$5:$P$10004="Pendiente")),ROWS($A$5:A17))),"")</f>
        <v/>
      </c>
      <c r="B17">
        <f>IFERROR(INDEX(MOVIMIENTOS!$B$5:$B$10004,AGGREGATE(15,6,(ROW(MOVIMIENTOS!$P$5:$P$10004)-ROW(MOVIMIENTOS!$P$5)+1)/(((MOVIMIENTOS!$C$5:$C$10004="Gasto")+(MOVIMIENTOS!$C$5:$C$10004="Compra"))*(MOVIMIENTOS!$P$5:$P$10004="Pendiente")),ROWS($A$5:A17))),"")</f>
        <v/>
      </c>
      <c r="C17">
        <f>IFERROR(INDEX(MOVIMIENTOS!$E$5:$E$10004,AGGREGATE(15,6,(ROW(MOVIMIENTOS!$P$5:$P$10004)-ROW(MOVIMIENTOS!$P$5)+1)/(((MOVIMIENTOS!$C$5:$C$10004="Gasto")+(MOVIMIENTOS!$C$5:$C$10004="Compra"))*(MOVIMIENTOS!$P$5:$P$10004="Pendiente")),ROWS($A$5:A17))),"")</f>
        <v/>
      </c>
      <c r="D17">
        <f>IFERROR(INDEX(MOVIMIENTOS!$D$5:$D$10004,AGGREGATE(15,6,(ROW(MOVIMIENTOS!$P$5:$P$10004)-ROW(MOVIMIENTOS!$P$5)+1)/(((MOVIMIENTOS!$C$5:$C$10004="Gasto")+(MOVIMIENTOS!$C$5:$C$10004="Compra"))*(MOVIMIENTOS!$P$5:$P$10004="Pendiente")),ROWS($A$5:A17))),"")</f>
        <v/>
      </c>
      <c r="E17">
        <f>IFERROR(INDEX(MOVIMIENTOS!$O$5:$O$10004,AGGREGATE(15,6,(ROW(MOVIMIENTOS!$P$5:$P$10004)-ROW(MOVIMIENTOS!$P$5)+1)/(((MOVIMIENTOS!$C$5:$C$10004="Gasto")+(MOVIMIENTOS!$C$5:$C$10004="Compra"))*(MOVIMIENTOS!$P$5:$P$10004="Pendiente")),ROWS($A$5:A17))),"")</f>
        <v/>
      </c>
      <c r="F17">
        <f>IF(A17="","",MAX(0,TODAY()-B17))</f>
        <v/>
      </c>
      <c r="G17">
        <f>IFERROR(INDEX(MOVIMIENTOS!$P$5:$P$10004,AGGREGATE(15,6,(ROW(MOVIMIENTOS!$P$5:$P$10004)-ROW(MOVIMIENTOS!$P$5)+1)/(((MOVIMIENTOS!$C$5:$C$10004="Gasto")+(MOVIMIENTOS!$C$5:$C$10004="Compra"))*(MOVIMIENTOS!$P$5:$P$10004="Pendiente")),ROWS($A$5:A17))),"")</f>
        <v/>
      </c>
    </row>
    <row r="18">
      <c r="A18">
        <f>IFERROR(INDEX(MOVIMIENTOS!$A$5:$A$10004,AGGREGATE(15,6,(ROW(MOVIMIENTOS!$P$5:$P$10004)-ROW(MOVIMIENTOS!$P$5)+1)/(((MOVIMIENTOS!$C$5:$C$10004="Gasto")+(MOVIMIENTOS!$C$5:$C$10004="Compra"))*(MOVIMIENTOS!$P$5:$P$10004="Pendiente")),ROWS($A$5:A18))),"")</f>
        <v/>
      </c>
      <c r="B18">
        <f>IFERROR(INDEX(MOVIMIENTOS!$B$5:$B$10004,AGGREGATE(15,6,(ROW(MOVIMIENTOS!$P$5:$P$10004)-ROW(MOVIMIENTOS!$P$5)+1)/(((MOVIMIENTOS!$C$5:$C$10004="Gasto")+(MOVIMIENTOS!$C$5:$C$10004="Compra"))*(MOVIMIENTOS!$P$5:$P$10004="Pendiente")),ROWS($A$5:A18))),"")</f>
        <v/>
      </c>
      <c r="C18">
        <f>IFERROR(INDEX(MOVIMIENTOS!$E$5:$E$10004,AGGREGATE(15,6,(ROW(MOVIMIENTOS!$P$5:$P$10004)-ROW(MOVIMIENTOS!$P$5)+1)/(((MOVIMIENTOS!$C$5:$C$10004="Gasto")+(MOVIMIENTOS!$C$5:$C$10004="Compra"))*(MOVIMIENTOS!$P$5:$P$10004="Pendiente")),ROWS($A$5:A18))),"")</f>
        <v/>
      </c>
      <c r="D18">
        <f>IFERROR(INDEX(MOVIMIENTOS!$D$5:$D$10004,AGGREGATE(15,6,(ROW(MOVIMIENTOS!$P$5:$P$10004)-ROW(MOVIMIENTOS!$P$5)+1)/(((MOVIMIENTOS!$C$5:$C$10004="Gasto")+(MOVIMIENTOS!$C$5:$C$10004="Compra"))*(MOVIMIENTOS!$P$5:$P$10004="Pendiente")),ROWS($A$5:A18))),"")</f>
        <v/>
      </c>
      <c r="E18">
        <f>IFERROR(INDEX(MOVIMIENTOS!$O$5:$O$10004,AGGREGATE(15,6,(ROW(MOVIMIENTOS!$P$5:$P$10004)-ROW(MOVIMIENTOS!$P$5)+1)/(((MOVIMIENTOS!$C$5:$C$10004="Gasto")+(MOVIMIENTOS!$C$5:$C$10004="Compra"))*(MOVIMIENTOS!$P$5:$P$10004="Pendiente")),ROWS($A$5:A18))),"")</f>
        <v/>
      </c>
      <c r="F18">
        <f>IF(A18="","",MAX(0,TODAY()-B18))</f>
        <v/>
      </c>
      <c r="G18">
        <f>IFERROR(INDEX(MOVIMIENTOS!$P$5:$P$10004,AGGREGATE(15,6,(ROW(MOVIMIENTOS!$P$5:$P$10004)-ROW(MOVIMIENTOS!$P$5)+1)/(((MOVIMIENTOS!$C$5:$C$10004="Gasto")+(MOVIMIENTOS!$C$5:$C$10004="Compra"))*(MOVIMIENTOS!$P$5:$P$10004="Pendiente")),ROWS($A$5:A18))),"")</f>
        <v/>
      </c>
    </row>
    <row r="19">
      <c r="A19">
        <f>IFERROR(INDEX(MOVIMIENTOS!$A$5:$A$10004,AGGREGATE(15,6,(ROW(MOVIMIENTOS!$P$5:$P$10004)-ROW(MOVIMIENTOS!$P$5)+1)/(((MOVIMIENTOS!$C$5:$C$10004="Gasto")+(MOVIMIENTOS!$C$5:$C$10004="Compra"))*(MOVIMIENTOS!$P$5:$P$10004="Pendiente")),ROWS($A$5:A19))),"")</f>
        <v/>
      </c>
      <c r="B19">
        <f>IFERROR(INDEX(MOVIMIENTOS!$B$5:$B$10004,AGGREGATE(15,6,(ROW(MOVIMIENTOS!$P$5:$P$10004)-ROW(MOVIMIENTOS!$P$5)+1)/(((MOVIMIENTOS!$C$5:$C$10004="Gasto")+(MOVIMIENTOS!$C$5:$C$10004="Compra"))*(MOVIMIENTOS!$P$5:$P$10004="Pendiente")),ROWS($A$5:A19))),"")</f>
        <v/>
      </c>
      <c r="C19">
        <f>IFERROR(INDEX(MOVIMIENTOS!$E$5:$E$10004,AGGREGATE(15,6,(ROW(MOVIMIENTOS!$P$5:$P$10004)-ROW(MOVIMIENTOS!$P$5)+1)/(((MOVIMIENTOS!$C$5:$C$10004="Gasto")+(MOVIMIENTOS!$C$5:$C$10004="Compra"))*(MOVIMIENTOS!$P$5:$P$10004="Pendiente")),ROWS($A$5:A19))),"")</f>
        <v/>
      </c>
      <c r="D19">
        <f>IFERROR(INDEX(MOVIMIENTOS!$D$5:$D$10004,AGGREGATE(15,6,(ROW(MOVIMIENTOS!$P$5:$P$10004)-ROW(MOVIMIENTOS!$P$5)+1)/(((MOVIMIENTOS!$C$5:$C$10004="Gasto")+(MOVIMIENTOS!$C$5:$C$10004="Compra"))*(MOVIMIENTOS!$P$5:$P$10004="Pendiente")),ROWS($A$5:A19))),"")</f>
        <v/>
      </c>
      <c r="E19">
        <f>IFERROR(INDEX(MOVIMIENTOS!$O$5:$O$10004,AGGREGATE(15,6,(ROW(MOVIMIENTOS!$P$5:$P$10004)-ROW(MOVIMIENTOS!$P$5)+1)/(((MOVIMIENTOS!$C$5:$C$10004="Gasto")+(MOVIMIENTOS!$C$5:$C$10004="Compra"))*(MOVIMIENTOS!$P$5:$P$10004="Pendiente")),ROWS($A$5:A19))),"")</f>
        <v/>
      </c>
      <c r="F19">
        <f>IF(A19="","",MAX(0,TODAY()-B19))</f>
        <v/>
      </c>
      <c r="G19">
        <f>IFERROR(INDEX(MOVIMIENTOS!$P$5:$P$10004,AGGREGATE(15,6,(ROW(MOVIMIENTOS!$P$5:$P$10004)-ROW(MOVIMIENTOS!$P$5)+1)/(((MOVIMIENTOS!$C$5:$C$10004="Gasto")+(MOVIMIENTOS!$C$5:$C$10004="Compra"))*(MOVIMIENTOS!$P$5:$P$10004="Pendiente")),ROWS($A$5:A19))),"")</f>
        <v/>
      </c>
    </row>
    <row r="20">
      <c r="A20">
        <f>IFERROR(INDEX(MOVIMIENTOS!$A$5:$A$10004,AGGREGATE(15,6,(ROW(MOVIMIENTOS!$P$5:$P$10004)-ROW(MOVIMIENTOS!$P$5)+1)/(((MOVIMIENTOS!$C$5:$C$10004="Gasto")+(MOVIMIENTOS!$C$5:$C$10004="Compra"))*(MOVIMIENTOS!$P$5:$P$10004="Pendiente")),ROWS($A$5:A20))),"")</f>
        <v/>
      </c>
      <c r="B20">
        <f>IFERROR(INDEX(MOVIMIENTOS!$B$5:$B$10004,AGGREGATE(15,6,(ROW(MOVIMIENTOS!$P$5:$P$10004)-ROW(MOVIMIENTOS!$P$5)+1)/(((MOVIMIENTOS!$C$5:$C$10004="Gasto")+(MOVIMIENTOS!$C$5:$C$10004="Compra"))*(MOVIMIENTOS!$P$5:$P$10004="Pendiente")),ROWS($A$5:A20))),"")</f>
        <v/>
      </c>
      <c r="C20">
        <f>IFERROR(INDEX(MOVIMIENTOS!$E$5:$E$10004,AGGREGATE(15,6,(ROW(MOVIMIENTOS!$P$5:$P$10004)-ROW(MOVIMIENTOS!$P$5)+1)/(((MOVIMIENTOS!$C$5:$C$10004="Gasto")+(MOVIMIENTOS!$C$5:$C$10004="Compra"))*(MOVIMIENTOS!$P$5:$P$10004="Pendiente")),ROWS($A$5:A20))),"")</f>
        <v/>
      </c>
      <c r="D20">
        <f>IFERROR(INDEX(MOVIMIENTOS!$D$5:$D$10004,AGGREGATE(15,6,(ROW(MOVIMIENTOS!$P$5:$P$10004)-ROW(MOVIMIENTOS!$P$5)+1)/(((MOVIMIENTOS!$C$5:$C$10004="Gasto")+(MOVIMIENTOS!$C$5:$C$10004="Compra"))*(MOVIMIENTOS!$P$5:$P$10004="Pendiente")),ROWS($A$5:A20))),"")</f>
        <v/>
      </c>
      <c r="E20">
        <f>IFERROR(INDEX(MOVIMIENTOS!$O$5:$O$10004,AGGREGATE(15,6,(ROW(MOVIMIENTOS!$P$5:$P$10004)-ROW(MOVIMIENTOS!$P$5)+1)/(((MOVIMIENTOS!$C$5:$C$10004="Gasto")+(MOVIMIENTOS!$C$5:$C$10004="Compra"))*(MOVIMIENTOS!$P$5:$P$10004="Pendiente")),ROWS($A$5:A20))),"")</f>
        <v/>
      </c>
      <c r="F20">
        <f>IF(A20="","",MAX(0,TODAY()-B20))</f>
        <v/>
      </c>
      <c r="G20">
        <f>IFERROR(INDEX(MOVIMIENTOS!$P$5:$P$10004,AGGREGATE(15,6,(ROW(MOVIMIENTOS!$P$5:$P$10004)-ROW(MOVIMIENTOS!$P$5)+1)/(((MOVIMIENTOS!$C$5:$C$10004="Gasto")+(MOVIMIENTOS!$C$5:$C$10004="Compra"))*(MOVIMIENTOS!$P$5:$P$10004="Pendiente")),ROWS($A$5:A20))),"")</f>
        <v/>
      </c>
    </row>
    <row r="21">
      <c r="A21">
        <f>IFERROR(INDEX(MOVIMIENTOS!$A$5:$A$10004,AGGREGATE(15,6,(ROW(MOVIMIENTOS!$P$5:$P$10004)-ROW(MOVIMIENTOS!$P$5)+1)/(((MOVIMIENTOS!$C$5:$C$10004="Gasto")+(MOVIMIENTOS!$C$5:$C$10004="Compra"))*(MOVIMIENTOS!$P$5:$P$10004="Pendiente")),ROWS($A$5:A21))),"")</f>
        <v/>
      </c>
      <c r="B21">
        <f>IFERROR(INDEX(MOVIMIENTOS!$B$5:$B$10004,AGGREGATE(15,6,(ROW(MOVIMIENTOS!$P$5:$P$10004)-ROW(MOVIMIENTOS!$P$5)+1)/(((MOVIMIENTOS!$C$5:$C$10004="Gasto")+(MOVIMIENTOS!$C$5:$C$10004="Compra"))*(MOVIMIENTOS!$P$5:$P$10004="Pendiente")),ROWS($A$5:A21))),"")</f>
        <v/>
      </c>
      <c r="C21">
        <f>IFERROR(INDEX(MOVIMIENTOS!$E$5:$E$10004,AGGREGATE(15,6,(ROW(MOVIMIENTOS!$P$5:$P$10004)-ROW(MOVIMIENTOS!$P$5)+1)/(((MOVIMIENTOS!$C$5:$C$10004="Gasto")+(MOVIMIENTOS!$C$5:$C$10004="Compra"))*(MOVIMIENTOS!$P$5:$P$10004="Pendiente")),ROWS($A$5:A21))),"")</f>
        <v/>
      </c>
      <c r="D21">
        <f>IFERROR(INDEX(MOVIMIENTOS!$D$5:$D$10004,AGGREGATE(15,6,(ROW(MOVIMIENTOS!$P$5:$P$10004)-ROW(MOVIMIENTOS!$P$5)+1)/(((MOVIMIENTOS!$C$5:$C$10004="Gasto")+(MOVIMIENTOS!$C$5:$C$10004="Compra"))*(MOVIMIENTOS!$P$5:$P$10004="Pendiente")),ROWS($A$5:A21))),"")</f>
        <v/>
      </c>
      <c r="E21">
        <f>IFERROR(INDEX(MOVIMIENTOS!$O$5:$O$10004,AGGREGATE(15,6,(ROW(MOVIMIENTOS!$P$5:$P$10004)-ROW(MOVIMIENTOS!$P$5)+1)/(((MOVIMIENTOS!$C$5:$C$10004="Gasto")+(MOVIMIENTOS!$C$5:$C$10004="Compra"))*(MOVIMIENTOS!$P$5:$P$10004="Pendiente")),ROWS($A$5:A21))),"")</f>
        <v/>
      </c>
      <c r="F21">
        <f>IF(A21="","",MAX(0,TODAY()-B21))</f>
        <v/>
      </c>
      <c r="G21">
        <f>IFERROR(INDEX(MOVIMIENTOS!$P$5:$P$10004,AGGREGATE(15,6,(ROW(MOVIMIENTOS!$P$5:$P$10004)-ROW(MOVIMIENTOS!$P$5)+1)/(((MOVIMIENTOS!$C$5:$C$10004="Gasto")+(MOVIMIENTOS!$C$5:$C$10004="Compra"))*(MOVIMIENTOS!$P$5:$P$10004="Pendiente")),ROWS($A$5:A21))),"")</f>
        <v/>
      </c>
    </row>
    <row r="22">
      <c r="A22">
        <f>IFERROR(INDEX(MOVIMIENTOS!$A$5:$A$10004,AGGREGATE(15,6,(ROW(MOVIMIENTOS!$P$5:$P$10004)-ROW(MOVIMIENTOS!$P$5)+1)/(((MOVIMIENTOS!$C$5:$C$10004="Gasto")+(MOVIMIENTOS!$C$5:$C$10004="Compra"))*(MOVIMIENTOS!$P$5:$P$10004="Pendiente")),ROWS($A$5:A22))),"")</f>
        <v/>
      </c>
      <c r="B22">
        <f>IFERROR(INDEX(MOVIMIENTOS!$B$5:$B$10004,AGGREGATE(15,6,(ROW(MOVIMIENTOS!$P$5:$P$10004)-ROW(MOVIMIENTOS!$P$5)+1)/(((MOVIMIENTOS!$C$5:$C$10004="Gasto")+(MOVIMIENTOS!$C$5:$C$10004="Compra"))*(MOVIMIENTOS!$P$5:$P$10004="Pendiente")),ROWS($A$5:A22))),"")</f>
        <v/>
      </c>
      <c r="C22">
        <f>IFERROR(INDEX(MOVIMIENTOS!$E$5:$E$10004,AGGREGATE(15,6,(ROW(MOVIMIENTOS!$P$5:$P$10004)-ROW(MOVIMIENTOS!$P$5)+1)/(((MOVIMIENTOS!$C$5:$C$10004="Gasto")+(MOVIMIENTOS!$C$5:$C$10004="Compra"))*(MOVIMIENTOS!$P$5:$P$10004="Pendiente")),ROWS($A$5:A22))),"")</f>
        <v/>
      </c>
      <c r="D22">
        <f>IFERROR(INDEX(MOVIMIENTOS!$D$5:$D$10004,AGGREGATE(15,6,(ROW(MOVIMIENTOS!$P$5:$P$10004)-ROW(MOVIMIENTOS!$P$5)+1)/(((MOVIMIENTOS!$C$5:$C$10004="Gasto")+(MOVIMIENTOS!$C$5:$C$10004="Compra"))*(MOVIMIENTOS!$P$5:$P$10004="Pendiente")),ROWS($A$5:A22))),"")</f>
        <v/>
      </c>
      <c r="E22">
        <f>IFERROR(INDEX(MOVIMIENTOS!$O$5:$O$10004,AGGREGATE(15,6,(ROW(MOVIMIENTOS!$P$5:$P$10004)-ROW(MOVIMIENTOS!$P$5)+1)/(((MOVIMIENTOS!$C$5:$C$10004="Gasto")+(MOVIMIENTOS!$C$5:$C$10004="Compra"))*(MOVIMIENTOS!$P$5:$P$10004="Pendiente")),ROWS($A$5:A22))),"")</f>
        <v/>
      </c>
      <c r="F22">
        <f>IF(A22="","",MAX(0,TODAY()-B22))</f>
        <v/>
      </c>
      <c r="G22">
        <f>IFERROR(INDEX(MOVIMIENTOS!$P$5:$P$10004,AGGREGATE(15,6,(ROW(MOVIMIENTOS!$P$5:$P$10004)-ROW(MOVIMIENTOS!$P$5)+1)/(((MOVIMIENTOS!$C$5:$C$10004="Gasto")+(MOVIMIENTOS!$C$5:$C$10004="Compra"))*(MOVIMIENTOS!$P$5:$P$10004="Pendiente")),ROWS($A$5:A22))),"")</f>
        <v/>
      </c>
    </row>
    <row r="23">
      <c r="A23">
        <f>IFERROR(INDEX(MOVIMIENTOS!$A$5:$A$10004,AGGREGATE(15,6,(ROW(MOVIMIENTOS!$P$5:$P$10004)-ROW(MOVIMIENTOS!$P$5)+1)/(((MOVIMIENTOS!$C$5:$C$10004="Gasto")+(MOVIMIENTOS!$C$5:$C$10004="Compra"))*(MOVIMIENTOS!$P$5:$P$10004="Pendiente")),ROWS($A$5:A23))),"")</f>
        <v/>
      </c>
      <c r="B23">
        <f>IFERROR(INDEX(MOVIMIENTOS!$B$5:$B$10004,AGGREGATE(15,6,(ROW(MOVIMIENTOS!$P$5:$P$10004)-ROW(MOVIMIENTOS!$P$5)+1)/(((MOVIMIENTOS!$C$5:$C$10004="Gasto")+(MOVIMIENTOS!$C$5:$C$10004="Compra"))*(MOVIMIENTOS!$P$5:$P$10004="Pendiente")),ROWS($A$5:A23))),"")</f>
        <v/>
      </c>
      <c r="C23">
        <f>IFERROR(INDEX(MOVIMIENTOS!$E$5:$E$10004,AGGREGATE(15,6,(ROW(MOVIMIENTOS!$P$5:$P$10004)-ROW(MOVIMIENTOS!$P$5)+1)/(((MOVIMIENTOS!$C$5:$C$10004="Gasto")+(MOVIMIENTOS!$C$5:$C$10004="Compra"))*(MOVIMIENTOS!$P$5:$P$10004="Pendiente")),ROWS($A$5:A23))),"")</f>
        <v/>
      </c>
      <c r="D23">
        <f>IFERROR(INDEX(MOVIMIENTOS!$D$5:$D$10004,AGGREGATE(15,6,(ROW(MOVIMIENTOS!$P$5:$P$10004)-ROW(MOVIMIENTOS!$P$5)+1)/(((MOVIMIENTOS!$C$5:$C$10004="Gasto")+(MOVIMIENTOS!$C$5:$C$10004="Compra"))*(MOVIMIENTOS!$P$5:$P$10004="Pendiente")),ROWS($A$5:A23))),"")</f>
        <v/>
      </c>
      <c r="E23">
        <f>IFERROR(INDEX(MOVIMIENTOS!$O$5:$O$10004,AGGREGATE(15,6,(ROW(MOVIMIENTOS!$P$5:$P$10004)-ROW(MOVIMIENTOS!$P$5)+1)/(((MOVIMIENTOS!$C$5:$C$10004="Gasto")+(MOVIMIENTOS!$C$5:$C$10004="Compra"))*(MOVIMIENTOS!$P$5:$P$10004="Pendiente")),ROWS($A$5:A23))),"")</f>
        <v/>
      </c>
      <c r="F23">
        <f>IF(A23="","",MAX(0,TODAY()-B23))</f>
        <v/>
      </c>
      <c r="G23">
        <f>IFERROR(INDEX(MOVIMIENTOS!$P$5:$P$10004,AGGREGATE(15,6,(ROW(MOVIMIENTOS!$P$5:$P$10004)-ROW(MOVIMIENTOS!$P$5)+1)/(((MOVIMIENTOS!$C$5:$C$10004="Gasto")+(MOVIMIENTOS!$C$5:$C$10004="Compra"))*(MOVIMIENTOS!$P$5:$P$10004="Pendiente")),ROWS($A$5:A23))),"")</f>
        <v/>
      </c>
    </row>
    <row r="24">
      <c r="A24">
        <f>IFERROR(INDEX(MOVIMIENTOS!$A$5:$A$10004,AGGREGATE(15,6,(ROW(MOVIMIENTOS!$P$5:$P$10004)-ROW(MOVIMIENTOS!$P$5)+1)/(((MOVIMIENTOS!$C$5:$C$10004="Gasto")+(MOVIMIENTOS!$C$5:$C$10004="Compra"))*(MOVIMIENTOS!$P$5:$P$10004="Pendiente")),ROWS($A$5:A24))),"")</f>
        <v/>
      </c>
      <c r="B24">
        <f>IFERROR(INDEX(MOVIMIENTOS!$B$5:$B$10004,AGGREGATE(15,6,(ROW(MOVIMIENTOS!$P$5:$P$10004)-ROW(MOVIMIENTOS!$P$5)+1)/(((MOVIMIENTOS!$C$5:$C$10004="Gasto")+(MOVIMIENTOS!$C$5:$C$10004="Compra"))*(MOVIMIENTOS!$P$5:$P$10004="Pendiente")),ROWS($A$5:A24))),"")</f>
        <v/>
      </c>
      <c r="C24">
        <f>IFERROR(INDEX(MOVIMIENTOS!$E$5:$E$10004,AGGREGATE(15,6,(ROW(MOVIMIENTOS!$P$5:$P$10004)-ROW(MOVIMIENTOS!$P$5)+1)/(((MOVIMIENTOS!$C$5:$C$10004="Gasto")+(MOVIMIENTOS!$C$5:$C$10004="Compra"))*(MOVIMIENTOS!$P$5:$P$10004="Pendiente")),ROWS($A$5:A24))),"")</f>
        <v/>
      </c>
      <c r="D24">
        <f>IFERROR(INDEX(MOVIMIENTOS!$D$5:$D$10004,AGGREGATE(15,6,(ROW(MOVIMIENTOS!$P$5:$P$10004)-ROW(MOVIMIENTOS!$P$5)+1)/(((MOVIMIENTOS!$C$5:$C$10004="Gasto")+(MOVIMIENTOS!$C$5:$C$10004="Compra"))*(MOVIMIENTOS!$P$5:$P$10004="Pendiente")),ROWS($A$5:A24))),"")</f>
        <v/>
      </c>
      <c r="E24">
        <f>IFERROR(INDEX(MOVIMIENTOS!$O$5:$O$10004,AGGREGATE(15,6,(ROW(MOVIMIENTOS!$P$5:$P$10004)-ROW(MOVIMIENTOS!$P$5)+1)/(((MOVIMIENTOS!$C$5:$C$10004="Gasto")+(MOVIMIENTOS!$C$5:$C$10004="Compra"))*(MOVIMIENTOS!$P$5:$P$10004="Pendiente")),ROWS($A$5:A24))),"")</f>
        <v/>
      </c>
      <c r="F24">
        <f>IF(A24="","",MAX(0,TODAY()-B24))</f>
        <v/>
      </c>
      <c r="G24">
        <f>IFERROR(INDEX(MOVIMIENTOS!$P$5:$P$10004,AGGREGATE(15,6,(ROW(MOVIMIENTOS!$P$5:$P$10004)-ROW(MOVIMIENTOS!$P$5)+1)/(((MOVIMIENTOS!$C$5:$C$10004="Gasto")+(MOVIMIENTOS!$C$5:$C$10004="Compra"))*(MOVIMIENTOS!$P$5:$P$10004="Pendiente")),ROWS($A$5:A24))),"")</f>
        <v/>
      </c>
    </row>
    <row r="25">
      <c r="A25">
        <f>IFERROR(INDEX(MOVIMIENTOS!$A$5:$A$10004,AGGREGATE(15,6,(ROW(MOVIMIENTOS!$P$5:$P$10004)-ROW(MOVIMIENTOS!$P$5)+1)/(((MOVIMIENTOS!$C$5:$C$10004="Gasto")+(MOVIMIENTOS!$C$5:$C$10004="Compra"))*(MOVIMIENTOS!$P$5:$P$10004="Pendiente")),ROWS($A$5:A25))),"")</f>
        <v/>
      </c>
      <c r="B25">
        <f>IFERROR(INDEX(MOVIMIENTOS!$B$5:$B$10004,AGGREGATE(15,6,(ROW(MOVIMIENTOS!$P$5:$P$10004)-ROW(MOVIMIENTOS!$P$5)+1)/(((MOVIMIENTOS!$C$5:$C$10004="Gasto")+(MOVIMIENTOS!$C$5:$C$10004="Compra"))*(MOVIMIENTOS!$P$5:$P$10004="Pendiente")),ROWS($A$5:A25))),"")</f>
        <v/>
      </c>
      <c r="C25">
        <f>IFERROR(INDEX(MOVIMIENTOS!$E$5:$E$10004,AGGREGATE(15,6,(ROW(MOVIMIENTOS!$P$5:$P$10004)-ROW(MOVIMIENTOS!$P$5)+1)/(((MOVIMIENTOS!$C$5:$C$10004="Gasto")+(MOVIMIENTOS!$C$5:$C$10004="Compra"))*(MOVIMIENTOS!$P$5:$P$10004="Pendiente")),ROWS($A$5:A25))),"")</f>
        <v/>
      </c>
      <c r="D25">
        <f>IFERROR(INDEX(MOVIMIENTOS!$D$5:$D$10004,AGGREGATE(15,6,(ROW(MOVIMIENTOS!$P$5:$P$10004)-ROW(MOVIMIENTOS!$P$5)+1)/(((MOVIMIENTOS!$C$5:$C$10004="Gasto")+(MOVIMIENTOS!$C$5:$C$10004="Compra"))*(MOVIMIENTOS!$P$5:$P$10004="Pendiente")),ROWS($A$5:A25))),"")</f>
        <v/>
      </c>
      <c r="E25">
        <f>IFERROR(INDEX(MOVIMIENTOS!$O$5:$O$10004,AGGREGATE(15,6,(ROW(MOVIMIENTOS!$P$5:$P$10004)-ROW(MOVIMIENTOS!$P$5)+1)/(((MOVIMIENTOS!$C$5:$C$10004="Gasto")+(MOVIMIENTOS!$C$5:$C$10004="Compra"))*(MOVIMIENTOS!$P$5:$P$10004="Pendiente")),ROWS($A$5:A25))),"")</f>
        <v/>
      </c>
      <c r="F25">
        <f>IF(A25="","",MAX(0,TODAY()-B25))</f>
        <v/>
      </c>
      <c r="G25">
        <f>IFERROR(INDEX(MOVIMIENTOS!$P$5:$P$10004,AGGREGATE(15,6,(ROW(MOVIMIENTOS!$P$5:$P$10004)-ROW(MOVIMIENTOS!$P$5)+1)/(((MOVIMIENTOS!$C$5:$C$10004="Gasto")+(MOVIMIENTOS!$C$5:$C$10004="Compra"))*(MOVIMIENTOS!$P$5:$P$10004="Pendiente")),ROWS($A$5:A25))),"")</f>
        <v/>
      </c>
    </row>
    <row r="26">
      <c r="A26">
        <f>IFERROR(INDEX(MOVIMIENTOS!$A$5:$A$10004,AGGREGATE(15,6,(ROW(MOVIMIENTOS!$P$5:$P$10004)-ROW(MOVIMIENTOS!$P$5)+1)/(((MOVIMIENTOS!$C$5:$C$10004="Gasto")+(MOVIMIENTOS!$C$5:$C$10004="Compra"))*(MOVIMIENTOS!$P$5:$P$10004="Pendiente")),ROWS($A$5:A26))),"")</f>
        <v/>
      </c>
      <c r="B26">
        <f>IFERROR(INDEX(MOVIMIENTOS!$B$5:$B$10004,AGGREGATE(15,6,(ROW(MOVIMIENTOS!$P$5:$P$10004)-ROW(MOVIMIENTOS!$P$5)+1)/(((MOVIMIENTOS!$C$5:$C$10004="Gasto")+(MOVIMIENTOS!$C$5:$C$10004="Compra"))*(MOVIMIENTOS!$P$5:$P$10004="Pendiente")),ROWS($A$5:A26))),"")</f>
        <v/>
      </c>
      <c r="C26">
        <f>IFERROR(INDEX(MOVIMIENTOS!$E$5:$E$10004,AGGREGATE(15,6,(ROW(MOVIMIENTOS!$P$5:$P$10004)-ROW(MOVIMIENTOS!$P$5)+1)/(((MOVIMIENTOS!$C$5:$C$10004="Gasto")+(MOVIMIENTOS!$C$5:$C$10004="Compra"))*(MOVIMIENTOS!$P$5:$P$10004="Pendiente")),ROWS($A$5:A26))),"")</f>
        <v/>
      </c>
      <c r="D26">
        <f>IFERROR(INDEX(MOVIMIENTOS!$D$5:$D$10004,AGGREGATE(15,6,(ROW(MOVIMIENTOS!$P$5:$P$10004)-ROW(MOVIMIENTOS!$P$5)+1)/(((MOVIMIENTOS!$C$5:$C$10004="Gasto")+(MOVIMIENTOS!$C$5:$C$10004="Compra"))*(MOVIMIENTOS!$P$5:$P$10004="Pendiente")),ROWS($A$5:A26))),"")</f>
        <v/>
      </c>
      <c r="E26">
        <f>IFERROR(INDEX(MOVIMIENTOS!$O$5:$O$10004,AGGREGATE(15,6,(ROW(MOVIMIENTOS!$P$5:$P$10004)-ROW(MOVIMIENTOS!$P$5)+1)/(((MOVIMIENTOS!$C$5:$C$10004="Gasto")+(MOVIMIENTOS!$C$5:$C$10004="Compra"))*(MOVIMIENTOS!$P$5:$P$10004="Pendiente")),ROWS($A$5:A26))),"")</f>
        <v/>
      </c>
      <c r="F26">
        <f>IF(A26="","",MAX(0,TODAY()-B26))</f>
        <v/>
      </c>
      <c r="G26">
        <f>IFERROR(INDEX(MOVIMIENTOS!$P$5:$P$10004,AGGREGATE(15,6,(ROW(MOVIMIENTOS!$P$5:$P$10004)-ROW(MOVIMIENTOS!$P$5)+1)/(((MOVIMIENTOS!$C$5:$C$10004="Gasto")+(MOVIMIENTOS!$C$5:$C$10004="Compra"))*(MOVIMIENTOS!$P$5:$P$10004="Pendiente")),ROWS($A$5:A26))),"")</f>
        <v/>
      </c>
    </row>
    <row r="27">
      <c r="A27">
        <f>IFERROR(INDEX(MOVIMIENTOS!$A$5:$A$10004,AGGREGATE(15,6,(ROW(MOVIMIENTOS!$P$5:$P$10004)-ROW(MOVIMIENTOS!$P$5)+1)/(((MOVIMIENTOS!$C$5:$C$10004="Gasto")+(MOVIMIENTOS!$C$5:$C$10004="Compra"))*(MOVIMIENTOS!$P$5:$P$10004="Pendiente")),ROWS($A$5:A27))),"")</f>
        <v/>
      </c>
      <c r="B27">
        <f>IFERROR(INDEX(MOVIMIENTOS!$B$5:$B$10004,AGGREGATE(15,6,(ROW(MOVIMIENTOS!$P$5:$P$10004)-ROW(MOVIMIENTOS!$P$5)+1)/(((MOVIMIENTOS!$C$5:$C$10004="Gasto")+(MOVIMIENTOS!$C$5:$C$10004="Compra"))*(MOVIMIENTOS!$P$5:$P$10004="Pendiente")),ROWS($A$5:A27))),"")</f>
        <v/>
      </c>
      <c r="C27">
        <f>IFERROR(INDEX(MOVIMIENTOS!$E$5:$E$10004,AGGREGATE(15,6,(ROW(MOVIMIENTOS!$P$5:$P$10004)-ROW(MOVIMIENTOS!$P$5)+1)/(((MOVIMIENTOS!$C$5:$C$10004="Gasto")+(MOVIMIENTOS!$C$5:$C$10004="Compra"))*(MOVIMIENTOS!$P$5:$P$10004="Pendiente")),ROWS($A$5:A27))),"")</f>
        <v/>
      </c>
      <c r="D27">
        <f>IFERROR(INDEX(MOVIMIENTOS!$D$5:$D$10004,AGGREGATE(15,6,(ROW(MOVIMIENTOS!$P$5:$P$10004)-ROW(MOVIMIENTOS!$P$5)+1)/(((MOVIMIENTOS!$C$5:$C$10004="Gasto")+(MOVIMIENTOS!$C$5:$C$10004="Compra"))*(MOVIMIENTOS!$P$5:$P$10004="Pendiente")),ROWS($A$5:A27))),"")</f>
        <v/>
      </c>
      <c r="E27">
        <f>IFERROR(INDEX(MOVIMIENTOS!$O$5:$O$10004,AGGREGATE(15,6,(ROW(MOVIMIENTOS!$P$5:$P$10004)-ROW(MOVIMIENTOS!$P$5)+1)/(((MOVIMIENTOS!$C$5:$C$10004="Gasto")+(MOVIMIENTOS!$C$5:$C$10004="Compra"))*(MOVIMIENTOS!$P$5:$P$10004="Pendiente")),ROWS($A$5:A27))),"")</f>
        <v/>
      </c>
      <c r="F27">
        <f>IF(A27="","",MAX(0,TODAY()-B27))</f>
        <v/>
      </c>
      <c r="G27">
        <f>IFERROR(INDEX(MOVIMIENTOS!$P$5:$P$10004,AGGREGATE(15,6,(ROW(MOVIMIENTOS!$P$5:$P$10004)-ROW(MOVIMIENTOS!$P$5)+1)/(((MOVIMIENTOS!$C$5:$C$10004="Gasto")+(MOVIMIENTOS!$C$5:$C$10004="Compra"))*(MOVIMIENTOS!$P$5:$P$10004="Pendiente")),ROWS($A$5:A27))),"")</f>
        <v/>
      </c>
    </row>
    <row r="28">
      <c r="A28">
        <f>IFERROR(INDEX(MOVIMIENTOS!$A$5:$A$10004,AGGREGATE(15,6,(ROW(MOVIMIENTOS!$P$5:$P$10004)-ROW(MOVIMIENTOS!$P$5)+1)/(((MOVIMIENTOS!$C$5:$C$10004="Gasto")+(MOVIMIENTOS!$C$5:$C$10004="Compra"))*(MOVIMIENTOS!$P$5:$P$10004="Pendiente")),ROWS($A$5:A28))),"")</f>
        <v/>
      </c>
      <c r="B28">
        <f>IFERROR(INDEX(MOVIMIENTOS!$B$5:$B$10004,AGGREGATE(15,6,(ROW(MOVIMIENTOS!$P$5:$P$10004)-ROW(MOVIMIENTOS!$P$5)+1)/(((MOVIMIENTOS!$C$5:$C$10004="Gasto")+(MOVIMIENTOS!$C$5:$C$10004="Compra"))*(MOVIMIENTOS!$P$5:$P$10004="Pendiente")),ROWS($A$5:A28))),"")</f>
        <v/>
      </c>
      <c r="C28">
        <f>IFERROR(INDEX(MOVIMIENTOS!$E$5:$E$10004,AGGREGATE(15,6,(ROW(MOVIMIENTOS!$P$5:$P$10004)-ROW(MOVIMIENTOS!$P$5)+1)/(((MOVIMIENTOS!$C$5:$C$10004="Gasto")+(MOVIMIENTOS!$C$5:$C$10004="Compra"))*(MOVIMIENTOS!$P$5:$P$10004="Pendiente")),ROWS($A$5:A28))),"")</f>
        <v/>
      </c>
      <c r="D28">
        <f>IFERROR(INDEX(MOVIMIENTOS!$D$5:$D$10004,AGGREGATE(15,6,(ROW(MOVIMIENTOS!$P$5:$P$10004)-ROW(MOVIMIENTOS!$P$5)+1)/(((MOVIMIENTOS!$C$5:$C$10004="Gasto")+(MOVIMIENTOS!$C$5:$C$10004="Compra"))*(MOVIMIENTOS!$P$5:$P$10004="Pendiente")),ROWS($A$5:A28))),"")</f>
        <v/>
      </c>
      <c r="E28">
        <f>IFERROR(INDEX(MOVIMIENTOS!$O$5:$O$10004,AGGREGATE(15,6,(ROW(MOVIMIENTOS!$P$5:$P$10004)-ROW(MOVIMIENTOS!$P$5)+1)/(((MOVIMIENTOS!$C$5:$C$10004="Gasto")+(MOVIMIENTOS!$C$5:$C$10004="Compra"))*(MOVIMIENTOS!$P$5:$P$10004="Pendiente")),ROWS($A$5:A28))),"")</f>
        <v/>
      </c>
      <c r="F28">
        <f>IF(A28="","",MAX(0,TODAY()-B28))</f>
        <v/>
      </c>
      <c r="G28">
        <f>IFERROR(INDEX(MOVIMIENTOS!$P$5:$P$10004,AGGREGATE(15,6,(ROW(MOVIMIENTOS!$P$5:$P$10004)-ROW(MOVIMIENTOS!$P$5)+1)/(((MOVIMIENTOS!$C$5:$C$10004="Gasto")+(MOVIMIENTOS!$C$5:$C$10004="Compra"))*(MOVIMIENTOS!$P$5:$P$10004="Pendiente")),ROWS($A$5:A28))),"")</f>
        <v/>
      </c>
    </row>
    <row r="29">
      <c r="A29">
        <f>IFERROR(INDEX(MOVIMIENTOS!$A$5:$A$10004,AGGREGATE(15,6,(ROW(MOVIMIENTOS!$P$5:$P$10004)-ROW(MOVIMIENTOS!$P$5)+1)/(((MOVIMIENTOS!$C$5:$C$10004="Gasto")+(MOVIMIENTOS!$C$5:$C$10004="Compra"))*(MOVIMIENTOS!$P$5:$P$10004="Pendiente")),ROWS($A$5:A29))),"")</f>
        <v/>
      </c>
      <c r="B29">
        <f>IFERROR(INDEX(MOVIMIENTOS!$B$5:$B$10004,AGGREGATE(15,6,(ROW(MOVIMIENTOS!$P$5:$P$10004)-ROW(MOVIMIENTOS!$P$5)+1)/(((MOVIMIENTOS!$C$5:$C$10004="Gasto")+(MOVIMIENTOS!$C$5:$C$10004="Compra"))*(MOVIMIENTOS!$P$5:$P$10004="Pendiente")),ROWS($A$5:A29))),"")</f>
        <v/>
      </c>
      <c r="C29">
        <f>IFERROR(INDEX(MOVIMIENTOS!$E$5:$E$10004,AGGREGATE(15,6,(ROW(MOVIMIENTOS!$P$5:$P$10004)-ROW(MOVIMIENTOS!$P$5)+1)/(((MOVIMIENTOS!$C$5:$C$10004="Gasto")+(MOVIMIENTOS!$C$5:$C$10004="Compra"))*(MOVIMIENTOS!$P$5:$P$10004="Pendiente")),ROWS($A$5:A29))),"")</f>
        <v/>
      </c>
      <c r="D29">
        <f>IFERROR(INDEX(MOVIMIENTOS!$D$5:$D$10004,AGGREGATE(15,6,(ROW(MOVIMIENTOS!$P$5:$P$10004)-ROW(MOVIMIENTOS!$P$5)+1)/(((MOVIMIENTOS!$C$5:$C$10004="Gasto")+(MOVIMIENTOS!$C$5:$C$10004="Compra"))*(MOVIMIENTOS!$P$5:$P$10004="Pendiente")),ROWS($A$5:A29))),"")</f>
        <v/>
      </c>
      <c r="E29">
        <f>IFERROR(INDEX(MOVIMIENTOS!$O$5:$O$10004,AGGREGATE(15,6,(ROW(MOVIMIENTOS!$P$5:$P$10004)-ROW(MOVIMIENTOS!$P$5)+1)/(((MOVIMIENTOS!$C$5:$C$10004="Gasto")+(MOVIMIENTOS!$C$5:$C$10004="Compra"))*(MOVIMIENTOS!$P$5:$P$10004="Pendiente")),ROWS($A$5:A29))),"")</f>
        <v/>
      </c>
      <c r="F29">
        <f>IF(A29="","",MAX(0,TODAY()-B29))</f>
        <v/>
      </c>
      <c r="G29">
        <f>IFERROR(INDEX(MOVIMIENTOS!$P$5:$P$10004,AGGREGATE(15,6,(ROW(MOVIMIENTOS!$P$5:$P$10004)-ROW(MOVIMIENTOS!$P$5)+1)/(((MOVIMIENTOS!$C$5:$C$10004="Gasto")+(MOVIMIENTOS!$C$5:$C$10004="Compra"))*(MOVIMIENTOS!$P$5:$P$10004="Pendiente")),ROWS($A$5:A29))),"")</f>
        <v/>
      </c>
    </row>
    <row r="30">
      <c r="A30">
        <f>IFERROR(INDEX(MOVIMIENTOS!$A$5:$A$10004,AGGREGATE(15,6,(ROW(MOVIMIENTOS!$P$5:$P$10004)-ROW(MOVIMIENTOS!$P$5)+1)/(((MOVIMIENTOS!$C$5:$C$10004="Gasto")+(MOVIMIENTOS!$C$5:$C$10004="Compra"))*(MOVIMIENTOS!$P$5:$P$10004="Pendiente")),ROWS($A$5:A30))),"")</f>
        <v/>
      </c>
      <c r="B30">
        <f>IFERROR(INDEX(MOVIMIENTOS!$B$5:$B$10004,AGGREGATE(15,6,(ROW(MOVIMIENTOS!$P$5:$P$10004)-ROW(MOVIMIENTOS!$P$5)+1)/(((MOVIMIENTOS!$C$5:$C$10004="Gasto")+(MOVIMIENTOS!$C$5:$C$10004="Compra"))*(MOVIMIENTOS!$P$5:$P$10004="Pendiente")),ROWS($A$5:A30))),"")</f>
        <v/>
      </c>
      <c r="C30">
        <f>IFERROR(INDEX(MOVIMIENTOS!$E$5:$E$10004,AGGREGATE(15,6,(ROW(MOVIMIENTOS!$P$5:$P$10004)-ROW(MOVIMIENTOS!$P$5)+1)/(((MOVIMIENTOS!$C$5:$C$10004="Gasto")+(MOVIMIENTOS!$C$5:$C$10004="Compra"))*(MOVIMIENTOS!$P$5:$P$10004="Pendiente")),ROWS($A$5:A30))),"")</f>
        <v/>
      </c>
      <c r="D30">
        <f>IFERROR(INDEX(MOVIMIENTOS!$D$5:$D$10004,AGGREGATE(15,6,(ROW(MOVIMIENTOS!$P$5:$P$10004)-ROW(MOVIMIENTOS!$P$5)+1)/(((MOVIMIENTOS!$C$5:$C$10004="Gasto")+(MOVIMIENTOS!$C$5:$C$10004="Compra"))*(MOVIMIENTOS!$P$5:$P$10004="Pendiente")),ROWS($A$5:A30))),"")</f>
        <v/>
      </c>
      <c r="E30">
        <f>IFERROR(INDEX(MOVIMIENTOS!$O$5:$O$10004,AGGREGATE(15,6,(ROW(MOVIMIENTOS!$P$5:$P$10004)-ROW(MOVIMIENTOS!$P$5)+1)/(((MOVIMIENTOS!$C$5:$C$10004="Gasto")+(MOVIMIENTOS!$C$5:$C$10004="Compra"))*(MOVIMIENTOS!$P$5:$P$10004="Pendiente")),ROWS($A$5:A30))),"")</f>
        <v/>
      </c>
      <c r="F30">
        <f>IF(A30="","",MAX(0,TODAY()-B30))</f>
        <v/>
      </c>
      <c r="G30">
        <f>IFERROR(INDEX(MOVIMIENTOS!$P$5:$P$10004,AGGREGATE(15,6,(ROW(MOVIMIENTOS!$P$5:$P$10004)-ROW(MOVIMIENTOS!$P$5)+1)/(((MOVIMIENTOS!$C$5:$C$10004="Gasto")+(MOVIMIENTOS!$C$5:$C$10004="Compra"))*(MOVIMIENTOS!$P$5:$P$10004="Pendiente")),ROWS($A$5:A30))),"")</f>
        <v/>
      </c>
    </row>
    <row r="31">
      <c r="A31">
        <f>IFERROR(INDEX(MOVIMIENTOS!$A$5:$A$10004,AGGREGATE(15,6,(ROW(MOVIMIENTOS!$P$5:$P$10004)-ROW(MOVIMIENTOS!$P$5)+1)/(((MOVIMIENTOS!$C$5:$C$10004="Gasto")+(MOVIMIENTOS!$C$5:$C$10004="Compra"))*(MOVIMIENTOS!$P$5:$P$10004="Pendiente")),ROWS($A$5:A31))),"")</f>
        <v/>
      </c>
      <c r="B31">
        <f>IFERROR(INDEX(MOVIMIENTOS!$B$5:$B$10004,AGGREGATE(15,6,(ROW(MOVIMIENTOS!$P$5:$P$10004)-ROW(MOVIMIENTOS!$P$5)+1)/(((MOVIMIENTOS!$C$5:$C$10004="Gasto")+(MOVIMIENTOS!$C$5:$C$10004="Compra"))*(MOVIMIENTOS!$P$5:$P$10004="Pendiente")),ROWS($A$5:A31))),"")</f>
        <v/>
      </c>
      <c r="C31">
        <f>IFERROR(INDEX(MOVIMIENTOS!$E$5:$E$10004,AGGREGATE(15,6,(ROW(MOVIMIENTOS!$P$5:$P$10004)-ROW(MOVIMIENTOS!$P$5)+1)/(((MOVIMIENTOS!$C$5:$C$10004="Gasto")+(MOVIMIENTOS!$C$5:$C$10004="Compra"))*(MOVIMIENTOS!$P$5:$P$10004="Pendiente")),ROWS($A$5:A31))),"")</f>
        <v/>
      </c>
      <c r="D31">
        <f>IFERROR(INDEX(MOVIMIENTOS!$D$5:$D$10004,AGGREGATE(15,6,(ROW(MOVIMIENTOS!$P$5:$P$10004)-ROW(MOVIMIENTOS!$P$5)+1)/(((MOVIMIENTOS!$C$5:$C$10004="Gasto")+(MOVIMIENTOS!$C$5:$C$10004="Compra"))*(MOVIMIENTOS!$P$5:$P$10004="Pendiente")),ROWS($A$5:A31))),"")</f>
        <v/>
      </c>
      <c r="E31">
        <f>IFERROR(INDEX(MOVIMIENTOS!$O$5:$O$10004,AGGREGATE(15,6,(ROW(MOVIMIENTOS!$P$5:$P$10004)-ROW(MOVIMIENTOS!$P$5)+1)/(((MOVIMIENTOS!$C$5:$C$10004="Gasto")+(MOVIMIENTOS!$C$5:$C$10004="Compra"))*(MOVIMIENTOS!$P$5:$P$10004="Pendiente")),ROWS($A$5:A31))),"")</f>
        <v/>
      </c>
      <c r="F31">
        <f>IF(A31="","",MAX(0,TODAY()-B31))</f>
        <v/>
      </c>
      <c r="G31">
        <f>IFERROR(INDEX(MOVIMIENTOS!$P$5:$P$10004,AGGREGATE(15,6,(ROW(MOVIMIENTOS!$P$5:$P$10004)-ROW(MOVIMIENTOS!$P$5)+1)/(((MOVIMIENTOS!$C$5:$C$10004="Gasto")+(MOVIMIENTOS!$C$5:$C$10004="Compra"))*(MOVIMIENTOS!$P$5:$P$10004="Pendiente")),ROWS($A$5:A31))),"")</f>
        <v/>
      </c>
    </row>
    <row r="32">
      <c r="A32">
        <f>IFERROR(INDEX(MOVIMIENTOS!$A$5:$A$10004,AGGREGATE(15,6,(ROW(MOVIMIENTOS!$P$5:$P$10004)-ROW(MOVIMIENTOS!$P$5)+1)/(((MOVIMIENTOS!$C$5:$C$10004="Gasto")+(MOVIMIENTOS!$C$5:$C$10004="Compra"))*(MOVIMIENTOS!$P$5:$P$10004="Pendiente")),ROWS($A$5:A32))),"")</f>
        <v/>
      </c>
      <c r="B32">
        <f>IFERROR(INDEX(MOVIMIENTOS!$B$5:$B$10004,AGGREGATE(15,6,(ROW(MOVIMIENTOS!$P$5:$P$10004)-ROW(MOVIMIENTOS!$P$5)+1)/(((MOVIMIENTOS!$C$5:$C$10004="Gasto")+(MOVIMIENTOS!$C$5:$C$10004="Compra"))*(MOVIMIENTOS!$P$5:$P$10004="Pendiente")),ROWS($A$5:A32))),"")</f>
        <v/>
      </c>
      <c r="C32">
        <f>IFERROR(INDEX(MOVIMIENTOS!$E$5:$E$10004,AGGREGATE(15,6,(ROW(MOVIMIENTOS!$P$5:$P$10004)-ROW(MOVIMIENTOS!$P$5)+1)/(((MOVIMIENTOS!$C$5:$C$10004="Gasto")+(MOVIMIENTOS!$C$5:$C$10004="Compra"))*(MOVIMIENTOS!$P$5:$P$10004="Pendiente")),ROWS($A$5:A32))),"")</f>
        <v/>
      </c>
      <c r="D32">
        <f>IFERROR(INDEX(MOVIMIENTOS!$D$5:$D$10004,AGGREGATE(15,6,(ROW(MOVIMIENTOS!$P$5:$P$10004)-ROW(MOVIMIENTOS!$P$5)+1)/(((MOVIMIENTOS!$C$5:$C$10004="Gasto")+(MOVIMIENTOS!$C$5:$C$10004="Compra"))*(MOVIMIENTOS!$P$5:$P$10004="Pendiente")),ROWS($A$5:A32))),"")</f>
        <v/>
      </c>
      <c r="E32">
        <f>IFERROR(INDEX(MOVIMIENTOS!$O$5:$O$10004,AGGREGATE(15,6,(ROW(MOVIMIENTOS!$P$5:$P$10004)-ROW(MOVIMIENTOS!$P$5)+1)/(((MOVIMIENTOS!$C$5:$C$10004="Gasto")+(MOVIMIENTOS!$C$5:$C$10004="Compra"))*(MOVIMIENTOS!$P$5:$P$10004="Pendiente")),ROWS($A$5:A32))),"")</f>
        <v/>
      </c>
      <c r="F32">
        <f>IF(A32="","",MAX(0,TODAY()-B32))</f>
        <v/>
      </c>
      <c r="G32">
        <f>IFERROR(INDEX(MOVIMIENTOS!$P$5:$P$10004,AGGREGATE(15,6,(ROW(MOVIMIENTOS!$P$5:$P$10004)-ROW(MOVIMIENTOS!$P$5)+1)/(((MOVIMIENTOS!$C$5:$C$10004="Gasto")+(MOVIMIENTOS!$C$5:$C$10004="Compra"))*(MOVIMIENTOS!$P$5:$P$10004="Pendiente")),ROWS($A$5:A32))),"")</f>
        <v/>
      </c>
    </row>
    <row r="33">
      <c r="A33">
        <f>IFERROR(INDEX(MOVIMIENTOS!$A$5:$A$10004,AGGREGATE(15,6,(ROW(MOVIMIENTOS!$P$5:$P$10004)-ROW(MOVIMIENTOS!$P$5)+1)/(((MOVIMIENTOS!$C$5:$C$10004="Gasto")+(MOVIMIENTOS!$C$5:$C$10004="Compra"))*(MOVIMIENTOS!$P$5:$P$10004="Pendiente")),ROWS($A$5:A33))),"")</f>
        <v/>
      </c>
      <c r="B33">
        <f>IFERROR(INDEX(MOVIMIENTOS!$B$5:$B$10004,AGGREGATE(15,6,(ROW(MOVIMIENTOS!$P$5:$P$10004)-ROW(MOVIMIENTOS!$P$5)+1)/(((MOVIMIENTOS!$C$5:$C$10004="Gasto")+(MOVIMIENTOS!$C$5:$C$10004="Compra"))*(MOVIMIENTOS!$P$5:$P$10004="Pendiente")),ROWS($A$5:A33))),"")</f>
        <v/>
      </c>
      <c r="C33">
        <f>IFERROR(INDEX(MOVIMIENTOS!$E$5:$E$10004,AGGREGATE(15,6,(ROW(MOVIMIENTOS!$P$5:$P$10004)-ROW(MOVIMIENTOS!$P$5)+1)/(((MOVIMIENTOS!$C$5:$C$10004="Gasto")+(MOVIMIENTOS!$C$5:$C$10004="Compra"))*(MOVIMIENTOS!$P$5:$P$10004="Pendiente")),ROWS($A$5:A33))),"")</f>
        <v/>
      </c>
      <c r="D33">
        <f>IFERROR(INDEX(MOVIMIENTOS!$D$5:$D$10004,AGGREGATE(15,6,(ROW(MOVIMIENTOS!$P$5:$P$10004)-ROW(MOVIMIENTOS!$P$5)+1)/(((MOVIMIENTOS!$C$5:$C$10004="Gasto")+(MOVIMIENTOS!$C$5:$C$10004="Compra"))*(MOVIMIENTOS!$P$5:$P$10004="Pendiente")),ROWS($A$5:A33))),"")</f>
        <v/>
      </c>
      <c r="E33">
        <f>IFERROR(INDEX(MOVIMIENTOS!$O$5:$O$10004,AGGREGATE(15,6,(ROW(MOVIMIENTOS!$P$5:$P$10004)-ROW(MOVIMIENTOS!$P$5)+1)/(((MOVIMIENTOS!$C$5:$C$10004="Gasto")+(MOVIMIENTOS!$C$5:$C$10004="Compra"))*(MOVIMIENTOS!$P$5:$P$10004="Pendiente")),ROWS($A$5:A33))),"")</f>
        <v/>
      </c>
      <c r="F33">
        <f>IF(A33="","",MAX(0,TODAY()-B33))</f>
        <v/>
      </c>
      <c r="G33">
        <f>IFERROR(INDEX(MOVIMIENTOS!$P$5:$P$10004,AGGREGATE(15,6,(ROW(MOVIMIENTOS!$P$5:$P$10004)-ROW(MOVIMIENTOS!$P$5)+1)/(((MOVIMIENTOS!$C$5:$C$10004="Gasto")+(MOVIMIENTOS!$C$5:$C$10004="Compra"))*(MOVIMIENTOS!$P$5:$P$10004="Pendiente")),ROWS($A$5:A33))),"")</f>
        <v/>
      </c>
    </row>
    <row r="34">
      <c r="A34">
        <f>IFERROR(INDEX(MOVIMIENTOS!$A$5:$A$10004,AGGREGATE(15,6,(ROW(MOVIMIENTOS!$P$5:$P$10004)-ROW(MOVIMIENTOS!$P$5)+1)/(((MOVIMIENTOS!$C$5:$C$10004="Gasto")+(MOVIMIENTOS!$C$5:$C$10004="Compra"))*(MOVIMIENTOS!$P$5:$P$10004="Pendiente")),ROWS($A$5:A34))),"")</f>
        <v/>
      </c>
      <c r="B34">
        <f>IFERROR(INDEX(MOVIMIENTOS!$B$5:$B$10004,AGGREGATE(15,6,(ROW(MOVIMIENTOS!$P$5:$P$10004)-ROW(MOVIMIENTOS!$P$5)+1)/(((MOVIMIENTOS!$C$5:$C$10004="Gasto")+(MOVIMIENTOS!$C$5:$C$10004="Compra"))*(MOVIMIENTOS!$P$5:$P$10004="Pendiente")),ROWS($A$5:A34))),"")</f>
        <v/>
      </c>
      <c r="C34">
        <f>IFERROR(INDEX(MOVIMIENTOS!$E$5:$E$10004,AGGREGATE(15,6,(ROW(MOVIMIENTOS!$P$5:$P$10004)-ROW(MOVIMIENTOS!$P$5)+1)/(((MOVIMIENTOS!$C$5:$C$10004="Gasto")+(MOVIMIENTOS!$C$5:$C$10004="Compra"))*(MOVIMIENTOS!$P$5:$P$10004="Pendiente")),ROWS($A$5:A34))),"")</f>
        <v/>
      </c>
      <c r="D34">
        <f>IFERROR(INDEX(MOVIMIENTOS!$D$5:$D$10004,AGGREGATE(15,6,(ROW(MOVIMIENTOS!$P$5:$P$10004)-ROW(MOVIMIENTOS!$P$5)+1)/(((MOVIMIENTOS!$C$5:$C$10004="Gasto")+(MOVIMIENTOS!$C$5:$C$10004="Compra"))*(MOVIMIENTOS!$P$5:$P$10004="Pendiente")),ROWS($A$5:A34))),"")</f>
        <v/>
      </c>
      <c r="E34">
        <f>IFERROR(INDEX(MOVIMIENTOS!$O$5:$O$10004,AGGREGATE(15,6,(ROW(MOVIMIENTOS!$P$5:$P$10004)-ROW(MOVIMIENTOS!$P$5)+1)/(((MOVIMIENTOS!$C$5:$C$10004="Gasto")+(MOVIMIENTOS!$C$5:$C$10004="Compra"))*(MOVIMIENTOS!$P$5:$P$10004="Pendiente")),ROWS($A$5:A34))),"")</f>
        <v/>
      </c>
      <c r="F34">
        <f>IF(A34="","",MAX(0,TODAY()-B34))</f>
        <v/>
      </c>
      <c r="G34">
        <f>IFERROR(INDEX(MOVIMIENTOS!$P$5:$P$10004,AGGREGATE(15,6,(ROW(MOVIMIENTOS!$P$5:$P$10004)-ROW(MOVIMIENTOS!$P$5)+1)/(((MOVIMIENTOS!$C$5:$C$10004="Gasto")+(MOVIMIENTOS!$C$5:$C$10004="Compra"))*(MOVIMIENTOS!$P$5:$P$10004="Pendiente")),ROWS($A$5:A34))),"")</f>
        <v/>
      </c>
    </row>
    <row r="35">
      <c r="A35">
        <f>IFERROR(INDEX(MOVIMIENTOS!$A$5:$A$10004,AGGREGATE(15,6,(ROW(MOVIMIENTOS!$P$5:$P$10004)-ROW(MOVIMIENTOS!$P$5)+1)/(((MOVIMIENTOS!$C$5:$C$10004="Gasto")+(MOVIMIENTOS!$C$5:$C$10004="Compra"))*(MOVIMIENTOS!$P$5:$P$10004="Pendiente")),ROWS($A$5:A35))),"")</f>
        <v/>
      </c>
      <c r="B35">
        <f>IFERROR(INDEX(MOVIMIENTOS!$B$5:$B$10004,AGGREGATE(15,6,(ROW(MOVIMIENTOS!$P$5:$P$10004)-ROW(MOVIMIENTOS!$P$5)+1)/(((MOVIMIENTOS!$C$5:$C$10004="Gasto")+(MOVIMIENTOS!$C$5:$C$10004="Compra"))*(MOVIMIENTOS!$P$5:$P$10004="Pendiente")),ROWS($A$5:A35))),"")</f>
        <v/>
      </c>
      <c r="C35">
        <f>IFERROR(INDEX(MOVIMIENTOS!$E$5:$E$10004,AGGREGATE(15,6,(ROW(MOVIMIENTOS!$P$5:$P$10004)-ROW(MOVIMIENTOS!$P$5)+1)/(((MOVIMIENTOS!$C$5:$C$10004="Gasto")+(MOVIMIENTOS!$C$5:$C$10004="Compra"))*(MOVIMIENTOS!$P$5:$P$10004="Pendiente")),ROWS($A$5:A35))),"")</f>
        <v/>
      </c>
      <c r="D35">
        <f>IFERROR(INDEX(MOVIMIENTOS!$D$5:$D$10004,AGGREGATE(15,6,(ROW(MOVIMIENTOS!$P$5:$P$10004)-ROW(MOVIMIENTOS!$P$5)+1)/(((MOVIMIENTOS!$C$5:$C$10004="Gasto")+(MOVIMIENTOS!$C$5:$C$10004="Compra"))*(MOVIMIENTOS!$P$5:$P$10004="Pendiente")),ROWS($A$5:A35))),"")</f>
        <v/>
      </c>
      <c r="E35">
        <f>IFERROR(INDEX(MOVIMIENTOS!$O$5:$O$10004,AGGREGATE(15,6,(ROW(MOVIMIENTOS!$P$5:$P$10004)-ROW(MOVIMIENTOS!$P$5)+1)/(((MOVIMIENTOS!$C$5:$C$10004="Gasto")+(MOVIMIENTOS!$C$5:$C$10004="Compra"))*(MOVIMIENTOS!$P$5:$P$10004="Pendiente")),ROWS($A$5:A35))),"")</f>
        <v/>
      </c>
      <c r="F35">
        <f>IF(A35="","",MAX(0,TODAY()-B35))</f>
        <v/>
      </c>
      <c r="G35">
        <f>IFERROR(INDEX(MOVIMIENTOS!$P$5:$P$10004,AGGREGATE(15,6,(ROW(MOVIMIENTOS!$P$5:$P$10004)-ROW(MOVIMIENTOS!$P$5)+1)/(((MOVIMIENTOS!$C$5:$C$10004="Gasto")+(MOVIMIENTOS!$C$5:$C$10004="Compra"))*(MOVIMIENTOS!$P$5:$P$10004="Pendiente")),ROWS($A$5:A35))),"")</f>
        <v/>
      </c>
    </row>
    <row r="36">
      <c r="A36">
        <f>IFERROR(INDEX(MOVIMIENTOS!$A$5:$A$10004,AGGREGATE(15,6,(ROW(MOVIMIENTOS!$P$5:$P$10004)-ROW(MOVIMIENTOS!$P$5)+1)/(((MOVIMIENTOS!$C$5:$C$10004="Gasto")+(MOVIMIENTOS!$C$5:$C$10004="Compra"))*(MOVIMIENTOS!$P$5:$P$10004="Pendiente")),ROWS($A$5:A36))),"")</f>
        <v/>
      </c>
      <c r="B36">
        <f>IFERROR(INDEX(MOVIMIENTOS!$B$5:$B$10004,AGGREGATE(15,6,(ROW(MOVIMIENTOS!$P$5:$P$10004)-ROW(MOVIMIENTOS!$P$5)+1)/(((MOVIMIENTOS!$C$5:$C$10004="Gasto")+(MOVIMIENTOS!$C$5:$C$10004="Compra"))*(MOVIMIENTOS!$P$5:$P$10004="Pendiente")),ROWS($A$5:A36))),"")</f>
        <v/>
      </c>
      <c r="C36">
        <f>IFERROR(INDEX(MOVIMIENTOS!$E$5:$E$10004,AGGREGATE(15,6,(ROW(MOVIMIENTOS!$P$5:$P$10004)-ROW(MOVIMIENTOS!$P$5)+1)/(((MOVIMIENTOS!$C$5:$C$10004="Gasto")+(MOVIMIENTOS!$C$5:$C$10004="Compra"))*(MOVIMIENTOS!$P$5:$P$10004="Pendiente")),ROWS($A$5:A36))),"")</f>
        <v/>
      </c>
      <c r="D36">
        <f>IFERROR(INDEX(MOVIMIENTOS!$D$5:$D$10004,AGGREGATE(15,6,(ROW(MOVIMIENTOS!$P$5:$P$10004)-ROW(MOVIMIENTOS!$P$5)+1)/(((MOVIMIENTOS!$C$5:$C$10004="Gasto")+(MOVIMIENTOS!$C$5:$C$10004="Compra"))*(MOVIMIENTOS!$P$5:$P$10004="Pendiente")),ROWS($A$5:A36))),"")</f>
        <v/>
      </c>
      <c r="E36">
        <f>IFERROR(INDEX(MOVIMIENTOS!$O$5:$O$10004,AGGREGATE(15,6,(ROW(MOVIMIENTOS!$P$5:$P$10004)-ROW(MOVIMIENTOS!$P$5)+1)/(((MOVIMIENTOS!$C$5:$C$10004="Gasto")+(MOVIMIENTOS!$C$5:$C$10004="Compra"))*(MOVIMIENTOS!$P$5:$P$10004="Pendiente")),ROWS($A$5:A36))),"")</f>
        <v/>
      </c>
      <c r="F36">
        <f>IF(A36="","",MAX(0,TODAY()-B36))</f>
        <v/>
      </c>
      <c r="G36">
        <f>IFERROR(INDEX(MOVIMIENTOS!$P$5:$P$10004,AGGREGATE(15,6,(ROW(MOVIMIENTOS!$P$5:$P$10004)-ROW(MOVIMIENTOS!$P$5)+1)/(((MOVIMIENTOS!$C$5:$C$10004="Gasto")+(MOVIMIENTOS!$C$5:$C$10004="Compra"))*(MOVIMIENTOS!$P$5:$P$10004="Pendiente")),ROWS($A$5:A36))),"")</f>
        <v/>
      </c>
    </row>
    <row r="37">
      <c r="A37">
        <f>IFERROR(INDEX(MOVIMIENTOS!$A$5:$A$10004,AGGREGATE(15,6,(ROW(MOVIMIENTOS!$P$5:$P$10004)-ROW(MOVIMIENTOS!$P$5)+1)/(((MOVIMIENTOS!$C$5:$C$10004="Gasto")+(MOVIMIENTOS!$C$5:$C$10004="Compra"))*(MOVIMIENTOS!$P$5:$P$10004="Pendiente")),ROWS($A$5:A37))),"")</f>
        <v/>
      </c>
      <c r="B37">
        <f>IFERROR(INDEX(MOVIMIENTOS!$B$5:$B$10004,AGGREGATE(15,6,(ROW(MOVIMIENTOS!$P$5:$P$10004)-ROW(MOVIMIENTOS!$P$5)+1)/(((MOVIMIENTOS!$C$5:$C$10004="Gasto")+(MOVIMIENTOS!$C$5:$C$10004="Compra"))*(MOVIMIENTOS!$P$5:$P$10004="Pendiente")),ROWS($A$5:A37))),"")</f>
        <v/>
      </c>
      <c r="C37">
        <f>IFERROR(INDEX(MOVIMIENTOS!$E$5:$E$10004,AGGREGATE(15,6,(ROW(MOVIMIENTOS!$P$5:$P$10004)-ROW(MOVIMIENTOS!$P$5)+1)/(((MOVIMIENTOS!$C$5:$C$10004="Gasto")+(MOVIMIENTOS!$C$5:$C$10004="Compra"))*(MOVIMIENTOS!$P$5:$P$10004="Pendiente")),ROWS($A$5:A37))),"")</f>
        <v/>
      </c>
      <c r="D37">
        <f>IFERROR(INDEX(MOVIMIENTOS!$D$5:$D$10004,AGGREGATE(15,6,(ROW(MOVIMIENTOS!$P$5:$P$10004)-ROW(MOVIMIENTOS!$P$5)+1)/(((MOVIMIENTOS!$C$5:$C$10004="Gasto")+(MOVIMIENTOS!$C$5:$C$10004="Compra"))*(MOVIMIENTOS!$P$5:$P$10004="Pendiente")),ROWS($A$5:A37))),"")</f>
        <v/>
      </c>
      <c r="E37">
        <f>IFERROR(INDEX(MOVIMIENTOS!$O$5:$O$10004,AGGREGATE(15,6,(ROW(MOVIMIENTOS!$P$5:$P$10004)-ROW(MOVIMIENTOS!$P$5)+1)/(((MOVIMIENTOS!$C$5:$C$10004="Gasto")+(MOVIMIENTOS!$C$5:$C$10004="Compra"))*(MOVIMIENTOS!$P$5:$P$10004="Pendiente")),ROWS($A$5:A37))),"")</f>
        <v/>
      </c>
      <c r="F37">
        <f>IF(A37="","",MAX(0,TODAY()-B37))</f>
        <v/>
      </c>
      <c r="G37">
        <f>IFERROR(INDEX(MOVIMIENTOS!$P$5:$P$10004,AGGREGATE(15,6,(ROW(MOVIMIENTOS!$P$5:$P$10004)-ROW(MOVIMIENTOS!$P$5)+1)/(((MOVIMIENTOS!$C$5:$C$10004="Gasto")+(MOVIMIENTOS!$C$5:$C$10004="Compra"))*(MOVIMIENTOS!$P$5:$P$10004="Pendiente")),ROWS($A$5:A37))),"")</f>
        <v/>
      </c>
    </row>
    <row r="38">
      <c r="A38">
        <f>IFERROR(INDEX(MOVIMIENTOS!$A$5:$A$10004,AGGREGATE(15,6,(ROW(MOVIMIENTOS!$P$5:$P$10004)-ROW(MOVIMIENTOS!$P$5)+1)/(((MOVIMIENTOS!$C$5:$C$10004="Gasto")+(MOVIMIENTOS!$C$5:$C$10004="Compra"))*(MOVIMIENTOS!$P$5:$P$10004="Pendiente")),ROWS($A$5:A38))),"")</f>
        <v/>
      </c>
      <c r="B38">
        <f>IFERROR(INDEX(MOVIMIENTOS!$B$5:$B$10004,AGGREGATE(15,6,(ROW(MOVIMIENTOS!$P$5:$P$10004)-ROW(MOVIMIENTOS!$P$5)+1)/(((MOVIMIENTOS!$C$5:$C$10004="Gasto")+(MOVIMIENTOS!$C$5:$C$10004="Compra"))*(MOVIMIENTOS!$P$5:$P$10004="Pendiente")),ROWS($A$5:A38))),"")</f>
        <v/>
      </c>
      <c r="C38">
        <f>IFERROR(INDEX(MOVIMIENTOS!$E$5:$E$10004,AGGREGATE(15,6,(ROW(MOVIMIENTOS!$P$5:$P$10004)-ROW(MOVIMIENTOS!$P$5)+1)/(((MOVIMIENTOS!$C$5:$C$10004="Gasto")+(MOVIMIENTOS!$C$5:$C$10004="Compra"))*(MOVIMIENTOS!$P$5:$P$10004="Pendiente")),ROWS($A$5:A38))),"")</f>
        <v/>
      </c>
      <c r="D38">
        <f>IFERROR(INDEX(MOVIMIENTOS!$D$5:$D$10004,AGGREGATE(15,6,(ROW(MOVIMIENTOS!$P$5:$P$10004)-ROW(MOVIMIENTOS!$P$5)+1)/(((MOVIMIENTOS!$C$5:$C$10004="Gasto")+(MOVIMIENTOS!$C$5:$C$10004="Compra"))*(MOVIMIENTOS!$P$5:$P$10004="Pendiente")),ROWS($A$5:A38))),"")</f>
        <v/>
      </c>
      <c r="E38">
        <f>IFERROR(INDEX(MOVIMIENTOS!$O$5:$O$10004,AGGREGATE(15,6,(ROW(MOVIMIENTOS!$P$5:$P$10004)-ROW(MOVIMIENTOS!$P$5)+1)/(((MOVIMIENTOS!$C$5:$C$10004="Gasto")+(MOVIMIENTOS!$C$5:$C$10004="Compra"))*(MOVIMIENTOS!$P$5:$P$10004="Pendiente")),ROWS($A$5:A38))),"")</f>
        <v/>
      </c>
      <c r="F38">
        <f>IF(A38="","",MAX(0,TODAY()-B38))</f>
        <v/>
      </c>
      <c r="G38">
        <f>IFERROR(INDEX(MOVIMIENTOS!$P$5:$P$10004,AGGREGATE(15,6,(ROW(MOVIMIENTOS!$P$5:$P$10004)-ROW(MOVIMIENTOS!$P$5)+1)/(((MOVIMIENTOS!$C$5:$C$10004="Gasto")+(MOVIMIENTOS!$C$5:$C$10004="Compra"))*(MOVIMIENTOS!$P$5:$P$10004="Pendiente")),ROWS($A$5:A38))),"")</f>
        <v/>
      </c>
    </row>
    <row r="39">
      <c r="A39">
        <f>IFERROR(INDEX(MOVIMIENTOS!$A$5:$A$10004,AGGREGATE(15,6,(ROW(MOVIMIENTOS!$P$5:$P$10004)-ROW(MOVIMIENTOS!$P$5)+1)/(((MOVIMIENTOS!$C$5:$C$10004="Gasto")+(MOVIMIENTOS!$C$5:$C$10004="Compra"))*(MOVIMIENTOS!$P$5:$P$10004="Pendiente")),ROWS($A$5:A39))),"")</f>
        <v/>
      </c>
      <c r="B39">
        <f>IFERROR(INDEX(MOVIMIENTOS!$B$5:$B$10004,AGGREGATE(15,6,(ROW(MOVIMIENTOS!$P$5:$P$10004)-ROW(MOVIMIENTOS!$P$5)+1)/(((MOVIMIENTOS!$C$5:$C$10004="Gasto")+(MOVIMIENTOS!$C$5:$C$10004="Compra"))*(MOVIMIENTOS!$P$5:$P$10004="Pendiente")),ROWS($A$5:A39))),"")</f>
        <v/>
      </c>
      <c r="C39">
        <f>IFERROR(INDEX(MOVIMIENTOS!$E$5:$E$10004,AGGREGATE(15,6,(ROW(MOVIMIENTOS!$P$5:$P$10004)-ROW(MOVIMIENTOS!$P$5)+1)/(((MOVIMIENTOS!$C$5:$C$10004="Gasto")+(MOVIMIENTOS!$C$5:$C$10004="Compra"))*(MOVIMIENTOS!$P$5:$P$10004="Pendiente")),ROWS($A$5:A39))),"")</f>
        <v/>
      </c>
      <c r="D39">
        <f>IFERROR(INDEX(MOVIMIENTOS!$D$5:$D$10004,AGGREGATE(15,6,(ROW(MOVIMIENTOS!$P$5:$P$10004)-ROW(MOVIMIENTOS!$P$5)+1)/(((MOVIMIENTOS!$C$5:$C$10004="Gasto")+(MOVIMIENTOS!$C$5:$C$10004="Compra"))*(MOVIMIENTOS!$P$5:$P$10004="Pendiente")),ROWS($A$5:A39))),"")</f>
        <v/>
      </c>
      <c r="E39">
        <f>IFERROR(INDEX(MOVIMIENTOS!$O$5:$O$10004,AGGREGATE(15,6,(ROW(MOVIMIENTOS!$P$5:$P$10004)-ROW(MOVIMIENTOS!$P$5)+1)/(((MOVIMIENTOS!$C$5:$C$10004="Gasto")+(MOVIMIENTOS!$C$5:$C$10004="Compra"))*(MOVIMIENTOS!$P$5:$P$10004="Pendiente")),ROWS($A$5:A39))),"")</f>
        <v/>
      </c>
      <c r="F39">
        <f>IF(A39="","",MAX(0,TODAY()-B39))</f>
        <v/>
      </c>
      <c r="G39">
        <f>IFERROR(INDEX(MOVIMIENTOS!$P$5:$P$10004,AGGREGATE(15,6,(ROW(MOVIMIENTOS!$P$5:$P$10004)-ROW(MOVIMIENTOS!$P$5)+1)/(((MOVIMIENTOS!$C$5:$C$10004="Gasto")+(MOVIMIENTOS!$C$5:$C$10004="Compra"))*(MOVIMIENTOS!$P$5:$P$10004="Pendiente")),ROWS($A$5:A39))),"")</f>
        <v/>
      </c>
    </row>
    <row r="40">
      <c r="A40">
        <f>IFERROR(INDEX(MOVIMIENTOS!$A$5:$A$10004,AGGREGATE(15,6,(ROW(MOVIMIENTOS!$P$5:$P$10004)-ROW(MOVIMIENTOS!$P$5)+1)/(((MOVIMIENTOS!$C$5:$C$10004="Gasto")+(MOVIMIENTOS!$C$5:$C$10004="Compra"))*(MOVIMIENTOS!$P$5:$P$10004="Pendiente")),ROWS($A$5:A40))),"")</f>
        <v/>
      </c>
      <c r="B40">
        <f>IFERROR(INDEX(MOVIMIENTOS!$B$5:$B$10004,AGGREGATE(15,6,(ROW(MOVIMIENTOS!$P$5:$P$10004)-ROW(MOVIMIENTOS!$P$5)+1)/(((MOVIMIENTOS!$C$5:$C$10004="Gasto")+(MOVIMIENTOS!$C$5:$C$10004="Compra"))*(MOVIMIENTOS!$P$5:$P$10004="Pendiente")),ROWS($A$5:A40))),"")</f>
        <v/>
      </c>
      <c r="C40">
        <f>IFERROR(INDEX(MOVIMIENTOS!$E$5:$E$10004,AGGREGATE(15,6,(ROW(MOVIMIENTOS!$P$5:$P$10004)-ROW(MOVIMIENTOS!$P$5)+1)/(((MOVIMIENTOS!$C$5:$C$10004="Gasto")+(MOVIMIENTOS!$C$5:$C$10004="Compra"))*(MOVIMIENTOS!$P$5:$P$10004="Pendiente")),ROWS($A$5:A40))),"")</f>
        <v/>
      </c>
      <c r="D40">
        <f>IFERROR(INDEX(MOVIMIENTOS!$D$5:$D$10004,AGGREGATE(15,6,(ROW(MOVIMIENTOS!$P$5:$P$10004)-ROW(MOVIMIENTOS!$P$5)+1)/(((MOVIMIENTOS!$C$5:$C$10004="Gasto")+(MOVIMIENTOS!$C$5:$C$10004="Compra"))*(MOVIMIENTOS!$P$5:$P$10004="Pendiente")),ROWS($A$5:A40))),"")</f>
        <v/>
      </c>
      <c r="E40">
        <f>IFERROR(INDEX(MOVIMIENTOS!$O$5:$O$10004,AGGREGATE(15,6,(ROW(MOVIMIENTOS!$P$5:$P$10004)-ROW(MOVIMIENTOS!$P$5)+1)/(((MOVIMIENTOS!$C$5:$C$10004="Gasto")+(MOVIMIENTOS!$C$5:$C$10004="Compra"))*(MOVIMIENTOS!$P$5:$P$10004="Pendiente")),ROWS($A$5:A40))),"")</f>
        <v/>
      </c>
      <c r="F40">
        <f>IF(A40="","",MAX(0,TODAY()-B40))</f>
        <v/>
      </c>
      <c r="G40">
        <f>IFERROR(INDEX(MOVIMIENTOS!$P$5:$P$10004,AGGREGATE(15,6,(ROW(MOVIMIENTOS!$P$5:$P$10004)-ROW(MOVIMIENTOS!$P$5)+1)/(((MOVIMIENTOS!$C$5:$C$10004="Gasto")+(MOVIMIENTOS!$C$5:$C$10004="Compra"))*(MOVIMIENTOS!$P$5:$P$10004="Pendiente")),ROWS($A$5:A40))),"")</f>
        <v/>
      </c>
    </row>
    <row r="41">
      <c r="A41">
        <f>IFERROR(INDEX(MOVIMIENTOS!$A$5:$A$10004,AGGREGATE(15,6,(ROW(MOVIMIENTOS!$P$5:$P$10004)-ROW(MOVIMIENTOS!$P$5)+1)/(((MOVIMIENTOS!$C$5:$C$10004="Gasto")+(MOVIMIENTOS!$C$5:$C$10004="Compra"))*(MOVIMIENTOS!$P$5:$P$10004="Pendiente")),ROWS($A$5:A41))),"")</f>
        <v/>
      </c>
      <c r="B41">
        <f>IFERROR(INDEX(MOVIMIENTOS!$B$5:$B$10004,AGGREGATE(15,6,(ROW(MOVIMIENTOS!$P$5:$P$10004)-ROW(MOVIMIENTOS!$P$5)+1)/(((MOVIMIENTOS!$C$5:$C$10004="Gasto")+(MOVIMIENTOS!$C$5:$C$10004="Compra"))*(MOVIMIENTOS!$P$5:$P$10004="Pendiente")),ROWS($A$5:A41))),"")</f>
        <v/>
      </c>
      <c r="C41">
        <f>IFERROR(INDEX(MOVIMIENTOS!$E$5:$E$10004,AGGREGATE(15,6,(ROW(MOVIMIENTOS!$P$5:$P$10004)-ROW(MOVIMIENTOS!$P$5)+1)/(((MOVIMIENTOS!$C$5:$C$10004="Gasto")+(MOVIMIENTOS!$C$5:$C$10004="Compra"))*(MOVIMIENTOS!$P$5:$P$10004="Pendiente")),ROWS($A$5:A41))),"")</f>
        <v/>
      </c>
      <c r="D41">
        <f>IFERROR(INDEX(MOVIMIENTOS!$D$5:$D$10004,AGGREGATE(15,6,(ROW(MOVIMIENTOS!$P$5:$P$10004)-ROW(MOVIMIENTOS!$P$5)+1)/(((MOVIMIENTOS!$C$5:$C$10004="Gasto")+(MOVIMIENTOS!$C$5:$C$10004="Compra"))*(MOVIMIENTOS!$P$5:$P$10004="Pendiente")),ROWS($A$5:A41))),"")</f>
        <v/>
      </c>
      <c r="E41">
        <f>IFERROR(INDEX(MOVIMIENTOS!$O$5:$O$10004,AGGREGATE(15,6,(ROW(MOVIMIENTOS!$P$5:$P$10004)-ROW(MOVIMIENTOS!$P$5)+1)/(((MOVIMIENTOS!$C$5:$C$10004="Gasto")+(MOVIMIENTOS!$C$5:$C$10004="Compra"))*(MOVIMIENTOS!$P$5:$P$10004="Pendiente")),ROWS($A$5:A41))),"")</f>
        <v/>
      </c>
      <c r="F41">
        <f>IF(A41="","",MAX(0,TODAY()-B41))</f>
        <v/>
      </c>
      <c r="G41">
        <f>IFERROR(INDEX(MOVIMIENTOS!$P$5:$P$10004,AGGREGATE(15,6,(ROW(MOVIMIENTOS!$P$5:$P$10004)-ROW(MOVIMIENTOS!$P$5)+1)/(((MOVIMIENTOS!$C$5:$C$10004="Gasto")+(MOVIMIENTOS!$C$5:$C$10004="Compra"))*(MOVIMIENTOS!$P$5:$P$10004="Pendiente")),ROWS($A$5:A41))),"")</f>
        <v/>
      </c>
    </row>
    <row r="42">
      <c r="A42">
        <f>IFERROR(INDEX(MOVIMIENTOS!$A$5:$A$10004,AGGREGATE(15,6,(ROW(MOVIMIENTOS!$P$5:$P$10004)-ROW(MOVIMIENTOS!$P$5)+1)/(((MOVIMIENTOS!$C$5:$C$10004="Gasto")+(MOVIMIENTOS!$C$5:$C$10004="Compra"))*(MOVIMIENTOS!$P$5:$P$10004="Pendiente")),ROWS($A$5:A42))),"")</f>
        <v/>
      </c>
      <c r="B42">
        <f>IFERROR(INDEX(MOVIMIENTOS!$B$5:$B$10004,AGGREGATE(15,6,(ROW(MOVIMIENTOS!$P$5:$P$10004)-ROW(MOVIMIENTOS!$P$5)+1)/(((MOVIMIENTOS!$C$5:$C$10004="Gasto")+(MOVIMIENTOS!$C$5:$C$10004="Compra"))*(MOVIMIENTOS!$P$5:$P$10004="Pendiente")),ROWS($A$5:A42))),"")</f>
        <v/>
      </c>
      <c r="C42">
        <f>IFERROR(INDEX(MOVIMIENTOS!$E$5:$E$10004,AGGREGATE(15,6,(ROW(MOVIMIENTOS!$P$5:$P$10004)-ROW(MOVIMIENTOS!$P$5)+1)/(((MOVIMIENTOS!$C$5:$C$10004="Gasto")+(MOVIMIENTOS!$C$5:$C$10004="Compra"))*(MOVIMIENTOS!$P$5:$P$10004="Pendiente")),ROWS($A$5:A42))),"")</f>
        <v/>
      </c>
      <c r="D42">
        <f>IFERROR(INDEX(MOVIMIENTOS!$D$5:$D$10004,AGGREGATE(15,6,(ROW(MOVIMIENTOS!$P$5:$P$10004)-ROW(MOVIMIENTOS!$P$5)+1)/(((MOVIMIENTOS!$C$5:$C$10004="Gasto")+(MOVIMIENTOS!$C$5:$C$10004="Compra"))*(MOVIMIENTOS!$P$5:$P$10004="Pendiente")),ROWS($A$5:A42))),"")</f>
        <v/>
      </c>
      <c r="E42">
        <f>IFERROR(INDEX(MOVIMIENTOS!$O$5:$O$10004,AGGREGATE(15,6,(ROW(MOVIMIENTOS!$P$5:$P$10004)-ROW(MOVIMIENTOS!$P$5)+1)/(((MOVIMIENTOS!$C$5:$C$10004="Gasto")+(MOVIMIENTOS!$C$5:$C$10004="Compra"))*(MOVIMIENTOS!$P$5:$P$10004="Pendiente")),ROWS($A$5:A42))),"")</f>
        <v/>
      </c>
      <c r="F42">
        <f>IF(A42="","",MAX(0,TODAY()-B42))</f>
        <v/>
      </c>
      <c r="G42">
        <f>IFERROR(INDEX(MOVIMIENTOS!$P$5:$P$10004,AGGREGATE(15,6,(ROW(MOVIMIENTOS!$P$5:$P$10004)-ROW(MOVIMIENTOS!$P$5)+1)/(((MOVIMIENTOS!$C$5:$C$10004="Gasto")+(MOVIMIENTOS!$C$5:$C$10004="Compra"))*(MOVIMIENTOS!$P$5:$P$10004="Pendiente")),ROWS($A$5:A42))),"")</f>
        <v/>
      </c>
    </row>
    <row r="43">
      <c r="A43">
        <f>IFERROR(INDEX(MOVIMIENTOS!$A$5:$A$10004,AGGREGATE(15,6,(ROW(MOVIMIENTOS!$P$5:$P$10004)-ROW(MOVIMIENTOS!$P$5)+1)/(((MOVIMIENTOS!$C$5:$C$10004="Gasto")+(MOVIMIENTOS!$C$5:$C$10004="Compra"))*(MOVIMIENTOS!$P$5:$P$10004="Pendiente")),ROWS($A$5:A43))),"")</f>
        <v/>
      </c>
      <c r="B43">
        <f>IFERROR(INDEX(MOVIMIENTOS!$B$5:$B$10004,AGGREGATE(15,6,(ROW(MOVIMIENTOS!$P$5:$P$10004)-ROW(MOVIMIENTOS!$P$5)+1)/(((MOVIMIENTOS!$C$5:$C$10004="Gasto")+(MOVIMIENTOS!$C$5:$C$10004="Compra"))*(MOVIMIENTOS!$P$5:$P$10004="Pendiente")),ROWS($A$5:A43))),"")</f>
        <v/>
      </c>
      <c r="C43">
        <f>IFERROR(INDEX(MOVIMIENTOS!$E$5:$E$10004,AGGREGATE(15,6,(ROW(MOVIMIENTOS!$P$5:$P$10004)-ROW(MOVIMIENTOS!$P$5)+1)/(((MOVIMIENTOS!$C$5:$C$10004="Gasto")+(MOVIMIENTOS!$C$5:$C$10004="Compra"))*(MOVIMIENTOS!$P$5:$P$10004="Pendiente")),ROWS($A$5:A43))),"")</f>
        <v/>
      </c>
      <c r="D43">
        <f>IFERROR(INDEX(MOVIMIENTOS!$D$5:$D$10004,AGGREGATE(15,6,(ROW(MOVIMIENTOS!$P$5:$P$10004)-ROW(MOVIMIENTOS!$P$5)+1)/(((MOVIMIENTOS!$C$5:$C$10004="Gasto")+(MOVIMIENTOS!$C$5:$C$10004="Compra"))*(MOVIMIENTOS!$P$5:$P$10004="Pendiente")),ROWS($A$5:A43))),"")</f>
        <v/>
      </c>
      <c r="E43">
        <f>IFERROR(INDEX(MOVIMIENTOS!$O$5:$O$10004,AGGREGATE(15,6,(ROW(MOVIMIENTOS!$P$5:$P$10004)-ROW(MOVIMIENTOS!$P$5)+1)/(((MOVIMIENTOS!$C$5:$C$10004="Gasto")+(MOVIMIENTOS!$C$5:$C$10004="Compra"))*(MOVIMIENTOS!$P$5:$P$10004="Pendiente")),ROWS($A$5:A43))),"")</f>
        <v/>
      </c>
      <c r="F43">
        <f>IF(A43="","",MAX(0,TODAY()-B43))</f>
        <v/>
      </c>
      <c r="G43">
        <f>IFERROR(INDEX(MOVIMIENTOS!$P$5:$P$10004,AGGREGATE(15,6,(ROW(MOVIMIENTOS!$P$5:$P$10004)-ROW(MOVIMIENTOS!$P$5)+1)/(((MOVIMIENTOS!$C$5:$C$10004="Gasto")+(MOVIMIENTOS!$C$5:$C$10004="Compra"))*(MOVIMIENTOS!$P$5:$P$10004="Pendiente")),ROWS($A$5:A43))),"")</f>
        <v/>
      </c>
    </row>
    <row r="44">
      <c r="A44">
        <f>IFERROR(INDEX(MOVIMIENTOS!$A$5:$A$10004,AGGREGATE(15,6,(ROW(MOVIMIENTOS!$P$5:$P$10004)-ROW(MOVIMIENTOS!$P$5)+1)/(((MOVIMIENTOS!$C$5:$C$10004="Gasto")+(MOVIMIENTOS!$C$5:$C$10004="Compra"))*(MOVIMIENTOS!$P$5:$P$10004="Pendiente")),ROWS($A$5:A44))),"")</f>
        <v/>
      </c>
      <c r="B44">
        <f>IFERROR(INDEX(MOVIMIENTOS!$B$5:$B$10004,AGGREGATE(15,6,(ROW(MOVIMIENTOS!$P$5:$P$10004)-ROW(MOVIMIENTOS!$P$5)+1)/(((MOVIMIENTOS!$C$5:$C$10004="Gasto")+(MOVIMIENTOS!$C$5:$C$10004="Compra"))*(MOVIMIENTOS!$P$5:$P$10004="Pendiente")),ROWS($A$5:A44))),"")</f>
        <v/>
      </c>
      <c r="C44">
        <f>IFERROR(INDEX(MOVIMIENTOS!$E$5:$E$10004,AGGREGATE(15,6,(ROW(MOVIMIENTOS!$P$5:$P$10004)-ROW(MOVIMIENTOS!$P$5)+1)/(((MOVIMIENTOS!$C$5:$C$10004="Gasto")+(MOVIMIENTOS!$C$5:$C$10004="Compra"))*(MOVIMIENTOS!$P$5:$P$10004="Pendiente")),ROWS($A$5:A44))),"")</f>
        <v/>
      </c>
      <c r="D44">
        <f>IFERROR(INDEX(MOVIMIENTOS!$D$5:$D$10004,AGGREGATE(15,6,(ROW(MOVIMIENTOS!$P$5:$P$10004)-ROW(MOVIMIENTOS!$P$5)+1)/(((MOVIMIENTOS!$C$5:$C$10004="Gasto")+(MOVIMIENTOS!$C$5:$C$10004="Compra"))*(MOVIMIENTOS!$P$5:$P$10004="Pendiente")),ROWS($A$5:A44))),"")</f>
        <v/>
      </c>
      <c r="E44">
        <f>IFERROR(INDEX(MOVIMIENTOS!$O$5:$O$10004,AGGREGATE(15,6,(ROW(MOVIMIENTOS!$P$5:$P$10004)-ROW(MOVIMIENTOS!$P$5)+1)/(((MOVIMIENTOS!$C$5:$C$10004="Gasto")+(MOVIMIENTOS!$C$5:$C$10004="Compra"))*(MOVIMIENTOS!$P$5:$P$10004="Pendiente")),ROWS($A$5:A44))),"")</f>
        <v/>
      </c>
      <c r="F44">
        <f>IF(A44="","",MAX(0,TODAY()-B44))</f>
        <v/>
      </c>
      <c r="G44">
        <f>IFERROR(INDEX(MOVIMIENTOS!$P$5:$P$10004,AGGREGATE(15,6,(ROW(MOVIMIENTOS!$P$5:$P$10004)-ROW(MOVIMIENTOS!$P$5)+1)/(((MOVIMIENTOS!$C$5:$C$10004="Gasto")+(MOVIMIENTOS!$C$5:$C$10004="Compra"))*(MOVIMIENTOS!$P$5:$P$10004="Pendiente")),ROWS($A$5:A44))),"")</f>
        <v/>
      </c>
    </row>
    <row r="45">
      <c r="A45">
        <f>IFERROR(INDEX(MOVIMIENTOS!$A$5:$A$10004,AGGREGATE(15,6,(ROW(MOVIMIENTOS!$P$5:$P$10004)-ROW(MOVIMIENTOS!$P$5)+1)/(((MOVIMIENTOS!$C$5:$C$10004="Gasto")+(MOVIMIENTOS!$C$5:$C$10004="Compra"))*(MOVIMIENTOS!$P$5:$P$10004="Pendiente")),ROWS($A$5:A45))),"")</f>
        <v/>
      </c>
      <c r="B45">
        <f>IFERROR(INDEX(MOVIMIENTOS!$B$5:$B$10004,AGGREGATE(15,6,(ROW(MOVIMIENTOS!$P$5:$P$10004)-ROW(MOVIMIENTOS!$P$5)+1)/(((MOVIMIENTOS!$C$5:$C$10004="Gasto")+(MOVIMIENTOS!$C$5:$C$10004="Compra"))*(MOVIMIENTOS!$P$5:$P$10004="Pendiente")),ROWS($A$5:A45))),"")</f>
        <v/>
      </c>
      <c r="C45">
        <f>IFERROR(INDEX(MOVIMIENTOS!$E$5:$E$10004,AGGREGATE(15,6,(ROW(MOVIMIENTOS!$P$5:$P$10004)-ROW(MOVIMIENTOS!$P$5)+1)/(((MOVIMIENTOS!$C$5:$C$10004="Gasto")+(MOVIMIENTOS!$C$5:$C$10004="Compra"))*(MOVIMIENTOS!$P$5:$P$10004="Pendiente")),ROWS($A$5:A45))),"")</f>
        <v/>
      </c>
      <c r="D45">
        <f>IFERROR(INDEX(MOVIMIENTOS!$D$5:$D$10004,AGGREGATE(15,6,(ROW(MOVIMIENTOS!$P$5:$P$10004)-ROW(MOVIMIENTOS!$P$5)+1)/(((MOVIMIENTOS!$C$5:$C$10004="Gasto")+(MOVIMIENTOS!$C$5:$C$10004="Compra"))*(MOVIMIENTOS!$P$5:$P$10004="Pendiente")),ROWS($A$5:A45))),"")</f>
        <v/>
      </c>
      <c r="E45">
        <f>IFERROR(INDEX(MOVIMIENTOS!$O$5:$O$10004,AGGREGATE(15,6,(ROW(MOVIMIENTOS!$P$5:$P$10004)-ROW(MOVIMIENTOS!$P$5)+1)/(((MOVIMIENTOS!$C$5:$C$10004="Gasto")+(MOVIMIENTOS!$C$5:$C$10004="Compra"))*(MOVIMIENTOS!$P$5:$P$10004="Pendiente")),ROWS($A$5:A45))),"")</f>
        <v/>
      </c>
      <c r="F45">
        <f>IF(A45="","",MAX(0,TODAY()-B45))</f>
        <v/>
      </c>
      <c r="G45">
        <f>IFERROR(INDEX(MOVIMIENTOS!$P$5:$P$10004,AGGREGATE(15,6,(ROW(MOVIMIENTOS!$P$5:$P$10004)-ROW(MOVIMIENTOS!$P$5)+1)/(((MOVIMIENTOS!$C$5:$C$10004="Gasto")+(MOVIMIENTOS!$C$5:$C$10004="Compra"))*(MOVIMIENTOS!$P$5:$P$10004="Pendiente")),ROWS($A$5:A45))),"")</f>
        <v/>
      </c>
    </row>
    <row r="46">
      <c r="A46">
        <f>IFERROR(INDEX(MOVIMIENTOS!$A$5:$A$10004,AGGREGATE(15,6,(ROW(MOVIMIENTOS!$P$5:$P$10004)-ROW(MOVIMIENTOS!$P$5)+1)/(((MOVIMIENTOS!$C$5:$C$10004="Gasto")+(MOVIMIENTOS!$C$5:$C$10004="Compra"))*(MOVIMIENTOS!$P$5:$P$10004="Pendiente")),ROWS($A$5:A46))),"")</f>
        <v/>
      </c>
      <c r="B46">
        <f>IFERROR(INDEX(MOVIMIENTOS!$B$5:$B$10004,AGGREGATE(15,6,(ROW(MOVIMIENTOS!$P$5:$P$10004)-ROW(MOVIMIENTOS!$P$5)+1)/(((MOVIMIENTOS!$C$5:$C$10004="Gasto")+(MOVIMIENTOS!$C$5:$C$10004="Compra"))*(MOVIMIENTOS!$P$5:$P$10004="Pendiente")),ROWS($A$5:A46))),"")</f>
        <v/>
      </c>
      <c r="C46">
        <f>IFERROR(INDEX(MOVIMIENTOS!$E$5:$E$10004,AGGREGATE(15,6,(ROW(MOVIMIENTOS!$P$5:$P$10004)-ROW(MOVIMIENTOS!$P$5)+1)/(((MOVIMIENTOS!$C$5:$C$10004="Gasto")+(MOVIMIENTOS!$C$5:$C$10004="Compra"))*(MOVIMIENTOS!$P$5:$P$10004="Pendiente")),ROWS($A$5:A46))),"")</f>
        <v/>
      </c>
      <c r="D46">
        <f>IFERROR(INDEX(MOVIMIENTOS!$D$5:$D$10004,AGGREGATE(15,6,(ROW(MOVIMIENTOS!$P$5:$P$10004)-ROW(MOVIMIENTOS!$P$5)+1)/(((MOVIMIENTOS!$C$5:$C$10004="Gasto")+(MOVIMIENTOS!$C$5:$C$10004="Compra"))*(MOVIMIENTOS!$P$5:$P$10004="Pendiente")),ROWS($A$5:A46))),"")</f>
        <v/>
      </c>
      <c r="E46">
        <f>IFERROR(INDEX(MOVIMIENTOS!$O$5:$O$10004,AGGREGATE(15,6,(ROW(MOVIMIENTOS!$P$5:$P$10004)-ROW(MOVIMIENTOS!$P$5)+1)/(((MOVIMIENTOS!$C$5:$C$10004="Gasto")+(MOVIMIENTOS!$C$5:$C$10004="Compra"))*(MOVIMIENTOS!$P$5:$P$10004="Pendiente")),ROWS($A$5:A46))),"")</f>
        <v/>
      </c>
      <c r="F46">
        <f>IF(A46="","",MAX(0,TODAY()-B46))</f>
        <v/>
      </c>
      <c r="G46">
        <f>IFERROR(INDEX(MOVIMIENTOS!$P$5:$P$10004,AGGREGATE(15,6,(ROW(MOVIMIENTOS!$P$5:$P$10004)-ROW(MOVIMIENTOS!$P$5)+1)/(((MOVIMIENTOS!$C$5:$C$10004="Gasto")+(MOVIMIENTOS!$C$5:$C$10004="Compra"))*(MOVIMIENTOS!$P$5:$P$10004="Pendiente")),ROWS($A$5:A46))),"")</f>
        <v/>
      </c>
    </row>
    <row r="47">
      <c r="A47">
        <f>IFERROR(INDEX(MOVIMIENTOS!$A$5:$A$10004,AGGREGATE(15,6,(ROW(MOVIMIENTOS!$P$5:$P$10004)-ROW(MOVIMIENTOS!$P$5)+1)/(((MOVIMIENTOS!$C$5:$C$10004="Gasto")+(MOVIMIENTOS!$C$5:$C$10004="Compra"))*(MOVIMIENTOS!$P$5:$P$10004="Pendiente")),ROWS($A$5:A47))),"")</f>
        <v/>
      </c>
      <c r="B47">
        <f>IFERROR(INDEX(MOVIMIENTOS!$B$5:$B$10004,AGGREGATE(15,6,(ROW(MOVIMIENTOS!$P$5:$P$10004)-ROW(MOVIMIENTOS!$P$5)+1)/(((MOVIMIENTOS!$C$5:$C$10004="Gasto")+(MOVIMIENTOS!$C$5:$C$10004="Compra"))*(MOVIMIENTOS!$P$5:$P$10004="Pendiente")),ROWS($A$5:A47))),"")</f>
        <v/>
      </c>
      <c r="C47">
        <f>IFERROR(INDEX(MOVIMIENTOS!$E$5:$E$10004,AGGREGATE(15,6,(ROW(MOVIMIENTOS!$P$5:$P$10004)-ROW(MOVIMIENTOS!$P$5)+1)/(((MOVIMIENTOS!$C$5:$C$10004="Gasto")+(MOVIMIENTOS!$C$5:$C$10004="Compra"))*(MOVIMIENTOS!$P$5:$P$10004="Pendiente")),ROWS($A$5:A47))),"")</f>
        <v/>
      </c>
      <c r="D47">
        <f>IFERROR(INDEX(MOVIMIENTOS!$D$5:$D$10004,AGGREGATE(15,6,(ROW(MOVIMIENTOS!$P$5:$P$10004)-ROW(MOVIMIENTOS!$P$5)+1)/(((MOVIMIENTOS!$C$5:$C$10004="Gasto")+(MOVIMIENTOS!$C$5:$C$10004="Compra"))*(MOVIMIENTOS!$P$5:$P$10004="Pendiente")),ROWS($A$5:A47))),"")</f>
        <v/>
      </c>
      <c r="E47">
        <f>IFERROR(INDEX(MOVIMIENTOS!$O$5:$O$10004,AGGREGATE(15,6,(ROW(MOVIMIENTOS!$P$5:$P$10004)-ROW(MOVIMIENTOS!$P$5)+1)/(((MOVIMIENTOS!$C$5:$C$10004="Gasto")+(MOVIMIENTOS!$C$5:$C$10004="Compra"))*(MOVIMIENTOS!$P$5:$P$10004="Pendiente")),ROWS($A$5:A47))),"")</f>
        <v/>
      </c>
      <c r="F47">
        <f>IF(A47="","",MAX(0,TODAY()-B47))</f>
        <v/>
      </c>
      <c r="G47">
        <f>IFERROR(INDEX(MOVIMIENTOS!$P$5:$P$10004,AGGREGATE(15,6,(ROW(MOVIMIENTOS!$P$5:$P$10004)-ROW(MOVIMIENTOS!$P$5)+1)/(((MOVIMIENTOS!$C$5:$C$10004="Gasto")+(MOVIMIENTOS!$C$5:$C$10004="Compra"))*(MOVIMIENTOS!$P$5:$P$10004="Pendiente")),ROWS($A$5:A47))),"")</f>
        <v/>
      </c>
    </row>
    <row r="48">
      <c r="A48">
        <f>IFERROR(INDEX(MOVIMIENTOS!$A$5:$A$10004,AGGREGATE(15,6,(ROW(MOVIMIENTOS!$P$5:$P$10004)-ROW(MOVIMIENTOS!$P$5)+1)/(((MOVIMIENTOS!$C$5:$C$10004="Gasto")+(MOVIMIENTOS!$C$5:$C$10004="Compra"))*(MOVIMIENTOS!$P$5:$P$10004="Pendiente")),ROWS($A$5:A48))),"")</f>
        <v/>
      </c>
      <c r="B48">
        <f>IFERROR(INDEX(MOVIMIENTOS!$B$5:$B$10004,AGGREGATE(15,6,(ROW(MOVIMIENTOS!$P$5:$P$10004)-ROW(MOVIMIENTOS!$P$5)+1)/(((MOVIMIENTOS!$C$5:$C$10004="Gasto")+(MOVIMIENTOS!$C$5:$C$10004="Compra"))*(MOVIMIENTOS!$P$5:$P$10004="Pendiente")),ROWS($A$5:A48))),"")</f>
        <v/>
      </c>
      <c r="C48">
        <f>IFERROR(INDEX(MOVIMIENTOS!$E$5:$E$10004,AGGREGATE(15,6,(ROW(MOVIMIENTOS!$P$5:$P$10004)-ROW(MOVIMIENTOS!$P$5)+1)/(((MOVIMIENTOS!$C$5:$C$10004="Gasto")+(MOVIMIENTOS!$C$5:$C$10004="Compra"))*(MOVIMIENTOS!$P$5:$P$10004="Pendiente")),ROWS($A$5:A48))),"")</f>
        <v/>
      </c>
      <c r="D48">
        <f>IFERROR(INDEX(MOVIMIENTOS!$D$5:$D$10004,AGGREGATE(15,6,(ROW(MOVIMIENTOS!$P$5:$P$10004)-ROW(MOVIMIENTOS!$P$5)+1)/(((MOVIMIENTOS!$C$5:$C$10004="Gasto")+(MOVIMIENTOS!$C$5:$C$10004="Compra"))*(MOVIMIENTOS!$P$5:$P$10004="Pendiente")),ROWS($A$5:A48))),"")</f>
        <v/>
      </c>
      <c r="E48">
        <f>IFERROR(INDEX(MOVIMIENTOS!$O$5:$O$10004,AGGREGATE(15,6,(ROW(MOVIMIENTOS!$P$5:$P$10004)-ROW(MOVIMIENTOS!$P$5)+1)/(((MOVIMIENTOS!$C$5:$C$10004="Gasto")+(MOVIMIENTOS!$C$5:$C$10004="Compra"))*(MOVIMIENTOS!$P$5:$P$10004="Pendiente")),ROWS($A$5:A48))),"")</f>
        <v/>
      </c>
      <c r="F48">
        <f>IF(A48="","",MAX(0,TODAY()-B48))</f>
        <v/>
      </c>
      <c r="G48">
        <f>IFERROR(INDEX(MOVIMIENTOS!$P$5:$P$10004,AGGREGATE(15,6,(ROW(MOVIMIENTOS!$P$5:$P$10004)-ROW(MOVIMIENTOS!$P$5)+1)/(((MOVIMIENTOS!$C$5:$C$10004="Gasto")+(MOVIMIENTOS!$C$5:$C$10004="Compra"))*(MOVIMIENTOS!$P$5:$P$10004="Pendiente")),ROWS($A$5:A48))),"")</f>
        <v/>
      </c>
    </row>
    <row r="49">
      <c r="A49">
        <f>IFERROR(INDEX(MOVIMIENTOS!$A$5:$A$10004,AGGREGATE(15,6,(ROW(MOVIMIENTOS!$P$5:$P$10004)-ROW(MOVIMIENTOS!$P$5)+1)/(((MOVIMIENTOS!$C$5:$C$10004="Gasto")+(MOVIMIENTOS!$C$5:$C$10004="Compra"))*(MOVIMIENTOS!$P$5:$P$10004="Pendiente")),ROWS($A$5:A49))),"")</f>
        <v/>
      </c>
      <c r="B49">
        <f>IFERROR(INDEX(MOVIMIENTOS!$B$5:$B$10004,AGGREGATE(15,6,(ROW(MOVIMIENTOS!$P$5:$P$10004)-ROW(MOVIMIENTOS!$P$5)+1)/(((MOVIMIENTOS!$C$5:$C$10004="Gasto")+(MOVIMIENTOS!$C$5:$C$10004="Compra"))*(MOVIMIENTOS!$P$5:$P$10004="Pendiente")),ROWS($A$5:A49))),"")</f>
        <v/>
      </c>
      <c r="C49">
        <f>IFERROR(INDEX(MOVIMIENTOS!$E$5:$E$10004,AGGREGATE(15,6,(ROW(MOVIMIENTOS!$P$5:$P$10004)-ROW(MOVIMIENTOS!$P$5)+1)/(((MOVIMIENTOS!$C$5:$C$10004="Gasto")+(MOVIMIENTOS!$C$5:$C$10004="Compra"))*(MOVIMIENTOS!$P$5:$P$10004="Pendiente")),ROWS($A$5:A49))),"")</f>
        <v/>
      </c>
      <c r="D49">
        <f>IFERROR(INDEX(MOVIMIENTOS!$D$5:$D$10004,AGGREGATE(15,6,(ROW(MOVIMIENTOS!$P$5:$P$10004)-ROW(MOVIMIENTOS!$P$5)+1)/(((MOVIMIENTOS!$C$5:$C$10004="Gasto")+(MOVIMIENTOS!$C$5:$C$10004="Compra"))*(MOVIMIENTOS!$P$5:$P$10004="Pendiente")),ROWS($A$5:A49))),"")</f>
        <v/>
      </c>
      <c r="E49">
        <f>IFERROR(INDEX(MOVIMIENTOS!$O$5:$O$10004,AGGREGATE(15,6,(ROW(MOVIMIENTOS!$P$5:$P$10004)-ROW(MOVIMIENTOS!$P$5)+1)/(((MOVIMIENTOS!$C$5:$C$10004="Gasto")+(MOVIMIENTOS!$C$5:$C$10004="Compra"))*(MOVIMIENTOS!$P$5:$P$10004="Pendiente")),ROWS($A$5:A49))),"")</f>
        <v/>
      </c>
      <c r="F49">
        <f>IF(A49="","",MAX(0,TODAY()-B49))</f>
        <v/>
      </c>
      <c r="G49">
        <f>IFERROR(INDEX(MOVIMIENTOS!$P$5:$P$10004,AGGREGATE(15,6,(ROW(MOVIMIENTOS!$P$5:$P$10004)-ROW(MOVIMIENTOS!$P$5)+1)/(((MOVIMIENTOS!$C$5:$C$10004="Gasto")+(MOVIMIENTOS!$C$5:$C$10004="Compra"))*(MOVIMIENTOS!$P$5:$P$10004="Pendiente")),ROWS($A$5:A49))),"")</f>
        <v/>
      </c>
    </row>
    <row r="50">
      <c r="A50">
        <f>IFERROR(INDEX(MOVIMIENTOS!$A$5:$A$10004,AGGREGATE(15,6,(ROW(MOVIMIENTOS!$P$5:$P$10004)-ROW(MOVIMIENTOS!$P$5)+1)/(((MOVIMIENTOS!$C$5:$C$10004="Gasto")+(MOVIMIENTOS!$C$5:$C$10004="Compra"))*(MOVIMIENTOS!$P$5:$P$10004="Pendiente")),ROWS($A$5:A50))),"")</f>
        <v/>
      </c>
      <c r="B50">
        <f>IFERROR(INDEX(MOVIMIENTOS!$B$5:$B$10004,AGGREGATE(15,6,(ROW(MOVIMIENTOS!$P$5:$P$10004)-ROW(MOVIMIENTOS!$P$5)+1)/(((MOVIMIENTOS!$C$5:$C$10004="Gasto")+(MOVIMIENTOS!$C$5:$C$10004="Compra"))*(MOVIMIENTOS!$P$5:$P$10004="Pendiente")),ROWS($A$5:A50))),"")</f>
        <v/>
      </c>
      <c r="C50">
        <f>IFERROR(INDEX(MOVIMIENTOS!$E$5:$E$10004,AGGREGATE(15,6,(ROW(MOVIMIENTOS!$P$5:$P$10004)-ROW(MOVIMIENTOS!$P$5)+1)/(((MOVIMIENTOS!$C$5:$C$10004="Gasto")+(MOVIMIENTOS!$C$5:$C$10004="Compra"))*(MOVIMIENTOS!$P$5:$P$10004="Pendiente")),ROWS($A$5:A50))),"")</f>
        <v/>
      </c>
      <c r="D50">
        <f>IFERROR(INDEX(MOVIMIENTOS!$D$5:$D$10004,AGGREGATE(15,6,(ROW(MOVIMIENTOS!$P$5:$P$10004)-ROW(MOVIMIENTOS!$P$5)+1)/(((MOVIMIENTOS!$C$5:$C$10004="Gasto")+(MOVIMIENTOS!$C$5:$C$10004="Compra"))*(MOVIMIENTOS!$P$5:$P$10004="Pendiente")),ROWS($A$5:A50))),"")</f>
        <v/>
      </c>
      <c r="E50">
        <f>IFERROR(INDEX(MOVIMIENTOS!$O$5:$O$10004,AGGREGATE(15,6,(ROW(MOVIMIENTOS!$P$5:$P$10004)-ROW(MOVIMIENTOS!$P$5)+1)/(((MOVIMIENTOS!$C$5:$C$10004="Gasto")+(MOVIMIENTOS!$C$5:$C$10004="Compra"))*(MOVIMIENTOS!$P$5:$P$10004="Pendiente")),ROWS($A$5:A50))),"")</f>
        <v/>
      </c>
      <c r="F50">
        <f>IF(A50="","",MAX(0,TODAY()-B50))</f>
        <v/>
      </c>
      <c r="G50">
        <f>IFERROR(INDEX(MOVIMIENTOS!$P$5:$P$10004,AGGREGATE(15,6,(ROW(MOVIMIENTOS!$P$5:$P$10004)-ROW(MOVIMIENTOS!$P$5)+1)/(((MOVIMIENTOS!$C$5:$C$10004="Gasto")+(MOVIMIENTOS!$C$5:$C$10004="Compra"))*(MOVIMIENTOS!$P$5:$P$10004="Pendiente")),ROWS($A$5:A50))),"")</f>
        <v/>
      </c>
    </row>
    <row r="51">
      <c r="A51">
        <f>IFERROR(INDEX(MOVIMIENTOS!$A$5:$A$10004,AGGREGATE(15,6,(ROW(MOVIMIENTOS!$P$5:$P$10004)-ROW(MOVIMIENTOS!$P$5)+1)/(((MOVIMIENTOS!$C$5:$C$10004="Gasto")+(MOVIMIENTOS!$C$5:$C$10004="Compra"))*(MOVIMIENTOS!$P$5:$P$10004="Pendiente")),ROWS($A$5:A51))),"")</f>
        <v/>
      </c>
      <c r="B51">
        <f>IFERROR(INDEX(MOVIMIENTOS!$B$5:$B$10004,AGGREGATE(15,6,(ROW(MOVIMIENTOS!$P$5:$P$10004)-ROW(MOVIMIENTOS!$P$5)+1)/(((MOVIMIENTOS!$C$5:$C$10004="Gasto")+(MOVIMIENTOS!$C$5:$C$10004="Compra"))*(MOVIMIENTOS!$P$5:$P$10004="Pendiente")),ROWS($A$5:A51))),"")</f>
        <v/>
      </c>
      <c r="C51">
        <f>IFERROR(INDEX(MOVIMIENTOS!$E$5:$E$10004,AGGREGATE(15,6,(ROW(MOVIMIENTOS!$P$5:$P$10004)-ROW(MOVIMIENTOS!$P$5)+1)/(((MOVIMIENTOS!$C$5:$C$10004="Gasto")+(MOVIMIENTOS!$C$5:$C$10004="Compra"))*(MOVIMIENTOS!$P$5:$P$10004="Pendiente")),ROWS($A$5:A51))),"")</f>
        <v/>
      </c>
      <c r="D51">
        <f>IFERROR(INDEX(MOVIMIENTOS!$D$5:$D$10004,AGGREGATE(15,6,(ROW(MOVIMIENTOS!$P$5:$P$10004)-ROW(MOVIMIENTOS!$P$5)+1)/(((MOVIMIENTOS!$C$5:$C$10004="Gasto")+(MOVIMIENTOS!$C$5:$C$10004="Compra"))*(MOVIMIENTOS!$P$5:$P$10004="Pendiente")),ROWS($A$5:A51))),"")</f>
        <v/>
      </c>
      <c r="E51">
        <f>IFERROR(INDEX(MOVIMIENTOS!$O$5:$O$10004,AGGREGATE(15,6,(ROW(MOVIMIENTOS!$P$5:$P$10004)-ROW(MOVIMIENTOS!$P$5)+1)/(((MOVIMIENTOS!$C$5:$C$10004="Gasto")+(MOVIMIENTOS!$C$5:$C$10004="Compra"))*(MOVIMIENTOS!$P$5:$P$10004="Pendiente")),ROWS($A$5:A51))),"")</f>
        <v/>
      </c>
      <c r="F51">
        <f>IF(A51="","",MAX(0,TODAY()-B51))</f>
        <v/>
      </c>
      <c r="G51">
        <f>IFERROR(INDEX(MOVIMIENTOS!$P$5:$P$10004,AGGREGATE(15,6,(ROW(MOVIMIENTOS!$P$5:$P$10004)-ROW(MOVIMIENTOS!$P$5)+1)/(((MOVIMIENTOS!$C$5:$C$10004="Gasto")+(MOVIMIENTOS!$C$5:$C$10004="Compra"))*(MOVIMIENTOS!$P$5:$P$10004="Pendiente")),ROWS($A$5:A51))),"")</f>
        <v/>
      </c>
    </row>
    <row r="52">
      <c r="A52">
        <f>IFERROR(INDEX(MOVIMIENTOS!$A$5:$A$10004,AGGREGATE(15,6,(ROW(MOVIMIENTOS!$P$5:$P$10004)-ROW(MOVIMIENTOS!$P$5)+1)/(((MOVIMIENTOS!$C$5:$C$10004="Gasto")+(MOVIMIENTOS!$C$5:$C$10004="Compra"))*(MOVIMIENTOS!$P$5:$P$10004="Pendiente")),ROWS($A$5:A52))),"")</f>
        <v/>
      </c>
      <c r="B52">
        <f>IFERROR(INDEX(MOVIMIENTOS!$B$5:$B$10004,AGGREGATE(15,6,(ROW(MOVIMIENTOS!$P$5:$P$10004)-ROW(MOVIMIENTOS!$P$5)+1)/(((MOVIMIENTOS!$C$5:$C$10004="Gasto")+(MOVIMIENTOS!$C$5:$C$10004="Compra"))*(MOVIMIENTOS!$P$5:$P$10004="Pendiente")),ROWS($A$5:A52))),"")</f>
        <v/>
      </c>
      <c r="C52">
        <f>IFERROR(INDEX(MOVIMIENTOS!$E$5:$E$10004,AGGREGATE(15,6,(ROW(MOVIMIENTOS!$P$5:$P$10004)-ROW(MOVIMIENTOS!$P$5)+1)/(((MOVIMIENTOS!$C$5:$C$10004="Gasto")+(MOVIMIENTOS!$C$5:$C$10004="Compra"))*(MOVIMIENTOS!$P$5:$P$10004="Pendiente")),ROWS($A$5:A52))),"")</f>
        <v/>
      </c>
      <c r="D52">
        <f>IFERROR(INDEX(MOVIMIENTOS!$D$5:$D$10004,AGGREGATE(15,6,(ROW(MOVIMIENTOS!$P$5:$P$10004)-ROW(MOVIMIENTOS!$P$5)+1)/(((MOVIMIENTOS!$C$5:$C$10004="Gasto")+(MOVIMIENTOS!$C$5:$C$10004="Compra"))*(MOVIMIENTOS!$P$5:$P$10004="Pendiente")),ROWS($A$5:A52))),"")</f>
        <v/>
      </c>
      <c r="E52">
        <f>IFERROR(INDEX(MOVIMIENTOS!$O$5:$O$10004,AGGREGATE(15,6,(ROW(MOVIMIENTOS!$P$5:$P$10004)-ROW(MOVIMIENTOS!$P$5)+1)/(((MOVIMIENTOS!$C$5:$C$10004="Gasto")+(MOVIMIENTOS!$C$5:$C$10004="Compra"))*(MOVIMIENTOS!$P$5:$P$10004="Pendiente")),ROWS($A$5:A52))),"")</f>
        <v/>
      </c>
      <c r="F52">
        <f>IF(A52="","",MAX(0,TODAY()-B52))</f>
        <v/>
      </c>
      <c r="G52">
        <f>IFERROR(INDEX(MOVIMIENTOS!$P$5:$P$10004,AGGREGATE(15,6,(ROW(MOVIMIENTOS!$P$5:$P$10004)-ROW(MOVIMIENTOS!$P$5)+1)/(((MOVIMIENTOS!$C$5:$C$10004="Gasto")+(MOVIMIENTOS!$C$5:$C$10004="Compra"))*(MOVIMIENTOS!$P$5:$P$10004="Pendiente")),ROWS($A$5:A52))),"")</f>
        <v/>
      </c>
    </row>
    <row r="53">
      <c r="A53">
        <f>IFERROR(INDEX(MOVIMIENTOS!$A$5:$A$10004,AGGREGATE(15,6,(ROW(MOVIMIENTOS!$P$5:$P$10004)-ROW(MOVIMIENTOS!$P$5)+1)/(((MOVIMIENTOS!$C$5:$C$10004="Gasto")+(MOVIMIENTOS!$C$5:$C$10004="Compra"))*(MOVIMIENTOS!$P$5:$P$10004="Pendiente")),ROWS($A$5:A53))),"")</f>
        <v/>
      </c>
      <c r="B53">
        <f>IFERROR(INDEX(MOVIMIENTOS!$B$5:$B$10004,AGGREGATE(15,6,(ROW(MOVIMIENTOS!$P$5:$P$10004)-ROW(MOVIMIENTOS!$P$5)+1)/(((MOVIMIENTOS!$C$5:$C$10004="Gasto")+(MOVIMIENTOS!$C$5:$C$10004="Compra"))*(MOVIMIENTOS!$P$5:$P$10004="Pendiente")),ROWS($A$5:A53))),"")</f>
        <v/>
      </c>
      <c r="C53">
        <f>IFERROR(INDEX(MOVIMIENTOS!$E$5:$E$10004,AGGREGATE(15,6,(ROW(MOVIMIENTOS!$P$5:$P$10004)-ROW(MOVIMIENTOS!$P$5)+1)/(((MOVIMIENTOS!$C$5:$C$10004="Gasto")+(MOVIMIENTOS!$C$5:$C$10004="Compra"))*(MOVIMIENTOS!$P$5:$P$10004="Pendiente")),ROWS($A$5:A53))),"")</f>
        <v/>
      </c>
      <c r="D53">
        <f>IFERROR(INDEX(MOVIMIENTOS!$D$5:$D$10004,AGGREGATE(15,6,(ROW(MOVIMIENTOS!$P$5:$P$10004)-ROW(MOVIMIENTOS!$P$5)+1)/(((MOVIMIENTOS!$C$5:$C$10004="Gasto")+(MOVIMIENTOS!$C$5:$C$10004="Compra"))*(MOVIMIENTOS!$P$5:$P$10004="Pendiente")),ROWS($A$5:A53))),"")</f>
        <v/>
      </c>
      <c r="E53">
        <f>IFERROR(INDEX(MOVIMIENTOS!$O$5:$O$10004,AGGREGATE(15,6,(ROW(MOVIMIENTOS!$P$5:$P$10004)-ROW(MOVIMIENTOS!$P$5)+1)/(((MOVIMIENTOS!$C$5:$C$10004="Gasto")+(MOVIMIENTOS!$C$5:$C$10004="Compra"))*(MOVIMIENTOS!$P$5:$P$10004="Pendiente")),ROWS($A$5:A53))),"")</f>
        <v/>
      </c>
      <c r="F53">
        <f>IF(A53="","",MAX(0,TODAY()-B53))</f>
        <v/>
      </c>
      <c r="G53">
        <f>IFERROR(INDEX(MOVIMIENTOS!$P$5:$P$10004,AGGREGATE(15,6,(ROW(MOVIMIENTOS!$P$5:$P$10004)-ROW(MOVIMIENTOS!$P$5)+1)/(((MOVIMIENTOS!$C$5:$C$10004="Gasto")+(MOVIMIENTOS!$C$5:$C$10004="Compra"))*(MOVIMIENTOS!$P$5:$P$10004="Pendiente")),ROWS($A$5:A53))),"")</f>
        <v/>
      </c>
    </row>
    <row r="54">
      <c r="A54">
        <f>IFERROR(INDEX(MOVIMIENTOS!$A$5:$A$10004,AGGREGATE(15,6,(ROW(MOVIMIENTOS!$P$5:$P$10004)-ROW(MOVIMIENTOS!$P$5)+1)/(((MOVIMIENTOS!$C$5:$C$10004="Gasto")+(MOVIMIENTOS!$C$5:$C$10004="Compra"))*(MOVIMIENTOS!$P$5:$P$10004="Pendiente")),ROWS($A$5:A54))),"")</f>
        <v/>
      </c>
      <c r="B54">
        <f>IFERROR(INDEX(MOVIMIENTOS!$B$5:$B$10004,AGGREGATE(15,6,(ROW(MOVIMIENTOS!$P$5:$P$10004)-ROW(MOVIMIENTOS!$P$5)+1)/(((MOVIMIENTOS!$C$5:$C$10004="Gasto")+(MOVIMIENTOS!$C$5:$C$10004="Compra"))*(MOVIMIENTOS!$P$5:$P$10004="Pendiente")),ROWS($A$5:A54))),"")</f>
        <v/>
      </c>
      <c r="C54">
        <f>IFERROR(INDEX(MOVIMIENTOS!$E$5:$E$10004,AGGREGATE(15,6,(ROW(MOVIMIENTOS!$P$5:$P$10004)-ROW(MOVIMIENTOS!$P$5)+1)/(((MOVIMIENTOS!$C$5:$C$10004="Gasto")+(MOVIMIENTOS!$C$5:$C$10004="Compra"))*(MOVIMIENTOS!$P$5:$P$10004="Pendiente")),ROWS($A$5:A54))),"")</f>
        <v/>
      </c>
      <c r="D54">
        <f>IFERROR(INDEX(MOVIMIENTOS!$D$5:$D$10004,AGGREGATE(15,6,(ROW(MOVIMIENTOS!$P$5:$P$10004)-ROW(MOVIMIENTOS!$P$5)+1)/(((MOVIMIENTOS!$C$5:$C$10004="Gasto")+(MOVIMIENTOS!$C$5:$C$10004="Compra"))*(MOVIMIENTOS!$P$5:$P$10004="Pendiente")),ROWS($A$5:A54))),"")</f>
        <v/>
      </c>
      <c r="E54">
        <f>IFERROR(INDEX(MOVIMIENTOS!$O$5:$O$10004,AGGREGATE(15,6,(ROW(MOVIMIENTOS!$P$5:$P$10004)-ROW(MOVIMIENTOS!$P$5)+1)/(((MOVIMIENTOS!$C$5:$C$10004="Gasto")+(MOVIMIENTOS!$C$5:$C$10004="Compra"))*(MOVIMIENTOS!$P$5:$P$10004="Pendiente")),ROWS($A$5:A54))),"")</f>
        <v/>
      </c>
      <c r="F54">
        <f>IF(A54="","",MAX(0,TODAY()-B54))</f>
        <v/>
      </c>
      <c r="G54">
        <f>IFERROR(INDEX(MOVIMIENTOS!$P$5:$P$10004,AGGREGATE(15,6,(ROW(MOVIMIENTOS!$P$5:$P$10004)-ROW(MOVIMIENTOS!$P$5)+1)/(((MOVIMIENTOS!$C$5:$C$10004="Gasto")+(MOVIMIENTOS!$C$5:$C$10004="Compra"))*(MOVIMIENTOS!$P$5:$P$10004="Pendiente")),ROWS($A$5:A54))),"")</f>
        <v/>
      </c>
    </row>
    <row r="55">
      <c r="A55">
        <f>IFERROR(INDEX(MOVIMIENTOS!$A$5:$A$10004,AGGREGATE(15,6,(ROW(MOVIMIENTOS!$P$5:$P$10004)-ROW(MOVIMIENTOS!$P$5)+1)/(((MOVIMIENTOS!$C$5:$C$10004="Gasto")+(MOVIMIENTOS!$C$5:$C$10004="Compra"))*(MOVIMIENTOS!$P$5:$P$10004="Pendiente")),ROWS($A$5:A55))),"")</f>
        <v/>
      </c>
      <c r="B55">
        <f>IFERROR(INDEX(MOVIMIENTOS!$B$5:$B$10004,AGGREGATE(15,6,(ROW(MOVIMIENTOS!$P$5:$P$10004)-ROW(MOVIMIENTOS!$P$5)+1)/(((MOVIMIENTOS!$C$5:$C$10004="Gasto")+(MOVIMIENTOS!$C$5:$C$10004="Compra"))*(MOVIMIENTOS!$P$5:$P$10004="Pendiente")),ROWS($A$5:A55))),"")</f>
        <v/>
      </c>
      <c r="C55">
        <f>IFERROR(INDEX(MOVIMIENTOS!$E$5:$E$10004,AGGREGATE(15,6,(ROW(MOVIMIENTOS!$P$5:$P$10004)-ROW(MOVIMIENTOS!$P$5)+1)/(((MOVIMIENTOS!$C$5:$C$10004="Gasto")+(MOVIMIENTOS!$C$5:$C$10004="Compra"))*(MOVIMIENTOS!$P$5:$P$10004="Pendiente")),ROWS($A$5:A55))),"")</f>
        <v/>
      </c>
      <c r="D55">
        <f>IFERROR(INDEX(MOVIMIENTOS!$D$5:$D$10004,AGGREGATE(15,6,(ROW(MOVIMIENTOS!$P$5:$P$10004)-ROW(MOVIMIENTOS!$P$5)+1)/(((MOVIMIENTOS!$C$5:$C$10004="Gasto")+(MOVIMIENTOS!$C$5:$C$10004="Compra"))*(MOVIMIENTOS!$P$5:$P$10004="Pendiente")),ROWS($A$5:A55))),"")</f>
        <v/>
      </c>
      <c r="E55">
        <f>IFERROR(INDEX(MOVIMIENTOS!$O$5:$O$10004,AGGREGATE(15,6,(ROW(MOVIMIENTOS!$P$5:$P$10004)-ROW(MOVIMIENTOS!$P$5)+1)/(((MOVIMIENTOS!$C$5:$C$10004="Gasto")+(MOVIMIENTOS!$C$5:$C$10004="Compra"))*(MOVIMIENTOS!$P$5:$P$10004="Pendiente")),ROWS($A$5:A55))),"")</f>
        <v/>
      </c>
      <c r="F55">
        <f>IF(A55="","",MAX(0,TODAY()-B55))</f>
        <v/>
      </c>
      <c r="G55">
        <f>IFERROR(INDEX(MOVIMIENTOS!$P$5:$P$10004,AGGREGATE(15,6,(ROW(MOVIMIENTOS!$P$5:$P$10004)-ROW(MOVIMIENTOS!$P$5)+1)/(((MOVIMIENTOS!$C$5:$C$10004="Gasto")+(MOVIMIENTOS!$C$5:$C$10004="Compra"))*(MOVIMIENTOS!$P$5:$P$10004="Pendiente")),ROWS($A$5:A55))),"")</f>
        <v/>
      </c>
    </row>
    <row r="56">
      <c r="A56">
        <f>IFERROR(INDEX(MOVIMIENTOS!$A$5:$A$10004,AGGREGATE(15,6,(ROW(MOVIMIENTOS!$P$5:$P$10004)-ROW(MOVIMIENTOS!$P$5)+1)/(((MOVIMIENTOS!$C$5:$C$10004="Gasto")+(MOVIMIENTOS!$C$5:$C$10004="Compra"))*(MOVIMIENTOS!$P$5:$P$10004="Pendiente")),ROWS($A$5:A56))),"")</f>
        <v/>
      </c>
      <c r="B56">
        <f>IFERROR(INDEX(MOVIMIENTOS!$B$5:$B$10004,AGGREGATE(15,6,(ROW(MOVIMIENTOS!$P$5:$P$10004)-ROW(MOVIMIENTOS!$P$5)+1)/(((MOVIMIENTOS!$C$5:$C$10004="Gasto")+(MOVIMIENTOS!$C$5:$C$10004="Compra"))*(MOVIMIENTOS!$P$5:$P$10004="Pendiente")),ROWS($A$5:A56))),"")</f>
        <v/>
      </c>
      <c r="C56">
        <f>IFERROR(INDEX(MOVIMIENTOS!$E$5:$E$10004,AGGREGATE(15,6,(ROW(MOVIMIENTOS!$P$5:$P$10004)-ROW(MOVIMIENTOS!$P$5)+1)/(((MOVIMIENTOS!$C$5:$C$10004="Gasto")+(MOVIMIENTOS!$C$5:$C$10004="Compra"))*(MOVIMIENTOS!$P$5:$P$10004="Pendiente")),ROWS($A$5:A56))),"")</f>
        <v/>
      </c>
      <c r="D56">
        <f>IFERROR(INDEX(MOVIMIENTOS!$D$5:$D$10004,AGGREGATE(15,6,(ROW(MOVIMIENTOS!$P$5:$P$10004)-ROW(MOVIMIENTOS!$P$5)+1)/(((MOVIMIENTOS!$C$5:$C$10004="Gasto")+(MOVIMIENTOS!$C$5:$C$10004="Compra"))*(MOVIMIENTOS!$P$5:$P$10004="Pendiente")),ROWS($A$5:A56))),"")</f>
        <v/>
      </c>
      <c r="E56">
        <f>IFERROR(INDEX(MOVIMIENTOS!$O$5:$O$10004,AGGREGATE(15,6,(ROW(MOVIMIENTOS!$P$5:$P$10004)-ROW(MOVIMIENTOS!$P$5)+1)/(((MOVIMIENTOS!$C$5:$C$10004="Gasto")+(MOVIMIENTOS!$C$5:$C$10004="Compra"))*(MOVIMIENTOS!$P$5:$P$10004="Pendiente")),ROWS($A$5:A56))),"")</f>
        <v/>
      </c>
      <c r="F56">
        <f>IF(A56="","",MAX(0,TODAY()-B56))</f>
        <v/>
      </c>
      <c r="G56">
        <f>IFERROR(INDEX(MOVIMIENTOS!$P$5:$P$10004,AGGREGATE(15,6,(ROW(MOVIMIENTOS!$P$5:$P$10004)-ROW(MOVIMIENTOS!$P$5)+1)/(((MOVIMIENTOS!$C$5:$C$10004="Gasto")+(MOVIMIENTOS!$C$5:$C$10004="Compra"))*(MOVIMIENTOS!$P$5:$P$10004="Pendiente")),ROWS($A$5:A56))),"")</f>
        <v/>
      </c>
    </row>
    <row r="57">
      <c r="A57">
        <f>IFERROR(INDEX(MOVIMIENTOS!$A$5:$A$10004,AGGREGATE(15,6,(ROW(MOVIMIENTOS!$P$5:$P$10004)-ROW(MOVIMIENTOS!$P$5)+1)/(((MOVIMIENTOS!$C$5:$C$10004="Gasto")+(MOVIMIENTOS!$C$5:$C$10004="Compra"))*(MOVIMIENTOS!$P$5:$P$10004="Pendiente")),ROWS($A$5:A57))),"")</f>
        <v/>
      </c>
      <c r="B57">
        <f>IFERROR(INDEX(MOVIMIENTOS!$B$5:$B$10004,AGGREGATE(15,6,(ROW(MOVIMIENTOS!$P$5:$P$10004)-ROW(MOVIMIENTOS!$P$5)+1)/(((MOVIMIENTOS!$C$5:$C$10004="Gasto")+(MOVIMIENTOS!$C$5:$C$10004="Compra"))*(MOVIMIENTOS!$P$5:$P$10004="Pendiente")),ROWS($A$5:A57))),"")</f>
        <v/>
      </c>
      <c r="C57">
        <f>IFERROR(INDEX(MOVIMIENTOS!$E$5:$E$10004,AGGREGATE(15,6,(ROW(MOVIMIENTOS!$P$5:$P$10004)-ROW(MOVIMIENTOS!$P$5)+1)/(((MOVIMIENTOS!$C$5:$C$10004="Gasto")+(MOVIMIENTOS!$C$5:$C$10004="Compra"))*(MOVIMIENTOS!$P$5:$P$10004="Pendiente")),ROWS($A$5:A57))),"")</f>
        <v/>
      </c>
      <c r="D57">
        <f>IFERROR(INDEX(MOVIMIENTOS!$D$5:$D$10004,AGGREGATE(15,6,(ROW(MOVIMIENTOS!$P$5:$P$10004)-ROW(MOVIMIENTOS!$P$5)+1)/(((MOVIMIENTOS!$C$5:$C$10004="Gasto")+(MOVIMIENTOS!$C$5:$C$10004="Compra"))*(MOVIMIENTOS!$P$5:$P$10004="Pendiente")),ROWS($A$5:A57))),"")</f>
        <v/>
      </c>
      <c r="E57">
        <f>IFERROR(INDEX(MOVIMIENTOS!$O$5:$O$10004,AGGREGATE(15,6,(ROW(MOVIMIENTOS!$P$5:$P$10004)-ROW(MOVIMIENTOS!$P$5)+1)/(((MOVIMIENTOS!$C$5:$C$10004="Gasto")+(MOVIMIENTOS!$C$5:$C$10004="Compra"))*(MOVIMIENTOS!$P$5:$P$10004="Pendiente")),ROWS($A$5:A57))),"")</f>
        <v/>
      </c>
      <c r="F57">
        <f>IF(A57="","",MAX(0,TODAY()-B57))</f>
        <v/>
      </c>
      <c r="G57">
        <f>IFERROR(INDEX(MOVIMIENTOS!$P$5:$P$10004,AGGREGATE(15,6,(ROW(MOVIMIENTOS!$P$5:$P$10004)-ROW(MOVIMIENTOS!$P$5)+1)/(((MOVIMIENTOS!$C$5:$C$10004="Gasto")+(MOVIMIENTOS!$C$5:$C$10004="Compra"))*(MOVIMIENTOS!$P$5:$P$10004="Pendiente")),ROWS($A$5:A57))),"")</f>
        <v/>
      </c>
    </row>
    <row r="58">
      <c r="A58">
        <f>IFERROR(INDEX(MOVIMIENTOS!$A$5:$A$10004,AGGREGATE(15,6,(ROW(MOVIMIENTOS!$P$5:$P$10004)-ROW(MOVIMIENTOS!$P$5)+1)/(((MOVIMIENTOS!$C$5:$C$10004="Gasto")+(MOVIMIENTOS!$C$5:$C$10004="Compra"))*(MOVIMIENTOS!$P$5:$P$10004="Pendiente")),ROWS($A$5:A58))),"")</f>
        <v/>
      </c>
      <c r="B58">
        <f>IFERROR(INDEX(MOVIMIENTOS!$B$5:$B$10004,AGGREGATE(15,6,(ROW(MOVIMIENTOS!$P$5:$P$10004)-ROW(MOVIMIENTOS!$P$5)+1)/(((MOVIMIENTOS!$C$5:$C$10004="Gasto")+(MOVIMIENTOS!$C$5:$C$10004="Compra"))*(MOVIMIENTOS!$P$5:$P$10004="Pendiente")),ROWS($A$5:A58))),"")</f>
        <v/>
      </c>
      <c r="C58">
        <f>IFERROR(INDEX(MOVIMIENTOS!$E$5:$E$10004,AGGREGATE(15,6,(ROW(MOVIMIENTOS!$P$5:$P$10004)-ROW(MOVIMIENTOS!$P$5)+1)/(((MOVIMIENTOS!$C$5:$C$10004="Gasto")+(MOVIMIENTOS!$C$5:$C$10004="Compra"))*(MOVIMIENTOS!$P$5:$P$10004="Pendiente")),ROWS($A$5:A58))),"")</f>
        <v/>
      </c>
      <c r="D58">
        <f>IFERROR(INDEX(MOVIMIENTOS!$D$5:$D$10004,AGGREGATE(15,6,(ROW(MOVIMIENTOS!$P$5:$P$10004)-ROW(MOVIMIENTOS!$P$5)+1)/(((MOVIMIENTOS!$C$5:$C$10004="Gasto")+(MOVIMIENTOS!$C$5:$C$10004="Compra"))*(MOVIMIENTOS!$P$5:$P$10004="Pendiente")),ROWS($A$5:A58))),"")</f>
        <v/>
      </c>
      <c r="E58">
        <f>IFERROR(INDEX(MOVIMIENTOS!$O$5:$O$10004,AGGREGATE(15,6,(ROW(MOVIMIENTOS!$P$5:$P$10004)-ROW(MOVIMIENTOS!$P$5)+1)/(((MOVIMIENTOS!$C$5:$C$10004="Gasto")+(MOVIMIENTOS!$C$5:$C$10004="Compra"))*(MOVIMIENTOS!$P$5:$P$10004="Pendiente")),ROWS($A$5:A58))),"")</f>
        <v/>
      </c>
      <c r="F58">
        <f>IF(A58="","",MAX(0,TODAY()-B58))</f>
        <v/>
      </c>
      <c r="G58">
        <f>IFERROR(INDEX(MOVIMIENTOS!$P$5:$P$10004,AGGREGATE(15,6,(ROW(MOVIMIENTOS!$P$5:$P$10004)-ROW(MOVIMIENTOS!$P$5)+1)/(((MOVIMIENTOS!$C$5:$C$10004="Gasto")+(MOVIMIENTOS!$C$5:$C$10004="Compra"))*(MOVIMIENTOS!$P$5:$P$10004="Pendiente")),ROWS($A$5:A58))),"")</f>
        <v/>
      </c>
    </row>
    <row r="59">
      <c r="A59">
        <f>IFERROR(INDEX(MOVIMIENTOS!$A$5:$A$10004,AGGREGATE(15,6,(ROW(MOVIMIENTOS!$P$5:$P$10004)-ROW(MOVIMIENTOS!$P$5)+1)/(((MOVIMIENTOS!$C$5:$C$10004="Gasto")+(MOVIMIENTOS!$C$5:$C$10004="Compra"))*(MOVIMIENTOS!$P$5:$P$10004="Pendiente")),ROWS($A$5:A59))),"")</f>
        <v/>
      </c>
      <c r="B59">
        <f>IFERROR(INDEX(MOVIMIENTOS!$B$5:$B$10004,AGGREGATE(15,6,(ROW(MOVIMIENTOS!$P$5:$P$10004)-ROW(MOVIMIENTOS!$P$5)+1)/(((MOVIMIENTOS!$C$5:$C$10004="Gasto")+(MOVIMIENTOS!$C$5:$C$10004="Compra"))*(MOVIMIENTOS!$P$5:$P$10004="Pendiente")),ROWS($A$5:A59))),"")</f>
        <v/>
      </c>
      <c r="C59">
        <f>IFERROR(INDEX(MOVIMIENTOS!$E$5:$E$10004,AGGREGATE(15,6,(ROW(MOVIMIENTOS!$P$5:$P$10004)-ROW(MOVIMIENTOS!$P$5)+1)/(((MOVIMIENTOS!$C$5:$C$10004="Gasto")+(MOVIMIENTOS!$C$5:$C$10004="Compra"))*(MOVIMIENTOS!$P$5:$P$10004="Pendiente")),ROWS($A$5:A59))),"")</f>
        <v/>
      </c>
      <c r="D59">
        <f>IFERROR(INDEX(MOVIMIENTOS!$D$5:$D$10004,AGGREGATE(15,6,(ROW(MOVIMIENTOS!$P$5:$P$10004)-ROW(MOVIMIENTOS!$P$5)+1)/(((MOVIMIENTOS!$C$5:$C$10004="Gasto")+(MOVIMIENTOS!$C$5:$C$10004="Compra"))*(MOVIMIENTOS!$P$5:$P$10004="Pendiente")),ROWS($A$5:A59))),"")</f>
        <v/>
      </c>
      <c r="E59">
        <f>IFERROR(INDEX(MOVIMIENTOS!$O$5:$O$10004,AGGREGATE(15,6,(ROW(MOVIMIENTOS!$P$5:$P$10004)-ROW(MOVIMIENTOS!$P$5)+1)/(((MOVIMIENTOS!$C$5:$C$10004="Gasto")+(MOVIMIENTOS!$C$5:$C$10004="Compra"))*(MOVIMIENTOS!$P$5:$P$10004="Pendiente")),ROWS($A$5:A59))),"")</f>
        <v/>
      </c>
      <c r="F59">
        <f>IF(A59="","",MAX(0,TODAY()-B59))</f>
        <v/>
      </c>
      <c r="G59">
        <f>IFERROR(INDEX(MOVIMIENTOS!$P$5:$P$10004,AGGREGATE(15,6,(ROW(MOVIMIENTOS!$P$5:$P$10004)-ROW(MOVIMIENTOS!$P$5)+1)/(((MOVIMIENTOS!$C$5:$C$10004="Gasto")+(MOVIMIENTOS!$C$5:$C$10004="Compra"))*(MOVIMIENTOS!$P$5:$P$10004="Pendiente")),ROWS($A$5:A59))),"")</f>
        <v/>
      </c>
    </row>
    <row r="60">
      <c r="A60">
        <f>IFERROR(INDEX(MOVIMIENTOS!$A$5:$A$10004,AGGREGATE(15,6,(ROW(MOVIMIENTOS!$P$5:$P$10004)-ROW(MOVIMIENTOS!$P$5)+1)/(((MOVIMIENTOS!$C$5:$C$10004="Gasto")+(MOVIMIENTOS!$C$5:$C$10004="Compra"))*(MOVIMIENTOS!$P$5:$P$10004="Pendiente")),ROWS($A$5:A60))),"")</f>
        <v/>
      </c>
      <c r="B60">
        <f>IFERROR(INDEX(MOVIMIENTOS!$B$5:$B$10004,AGGREGATE(15,6,(ROW(MOVIMIENTOS!$P$5:$P$10004)-ROW(MOVIMIENTOS!$P$5)+1)/(((MOVIMIENTOS!$C$5:$C$10004="Gasto")+(MOVIMIENTOS!$C$5:$C$10004="Compra"))*(MOVIMIENTOS!$P$5:$P$10004="Pendiente")),ROWS($A$5:A60))),"")</f>
        <v/>
      </c>
      <c r="C60">
        <f>IFERROR(INDEX(MOVIMIENTOS!$E$5:$E$10004,AGGREGATE(15,6,(ROW(MOVIMIENTOS!$P$5:$P$10004)-ROW(MOVIMIENTOS!$P$5)+1)/(((MOVIMIENTOS!$C$5:$C$10004="Gasto")+(MOVIMIENTOS!$C$5:$C$10004="Compra"))*(MOVIMIENTOS!$P$5:$P$10004="Pendiente")),ROWS($A$5:A60))),"")</f>
        <v/>
      </c>
      <c r="D60">
        <f>IFERROR(INDEX(MOVIMIENTOS!$D$5:$D$10004,AGGREGATE(15,6,(ROW(MOVIMIENTOS!$P$5:$P$10004)-ROW(MOVIMIENTOS!$P$5)+1)/(((MOVIMIENTOS!$C$5:$C$10004="Gasto")+(MOVIMIENTOS!$C$5:$C$10004="Compra"))*(MOVIMIENTOS!$P$5:$P$10004="Pendiente")),ROWS($A$5:A60))),"")</f>
        <v/>
      </c>
      <c r="E60">
        <f>IFERROR(INDEX(MOVIMIENTOS!$O$5:$O$10004,AGGREGATE(15,6,(ROW(MOVIMIENTOS!$P$5:$P$10004)-ROW(MOVIMIENTOS!$P$5)+1)/(((MOVIMIENTOS!$C$5:$C$10004="Gasto")+(MOVIMIENTOS!$C$5:$C$10004="Compra"))*(MOVIMIENTOS!$P$5:$P$10004="Pendiente")),ROWS($A$5:A60))),"")</f>
        <v/>
      </c>
      <c r="F60">
        <f>IF(A60="","",MAX(0,TODAY()-B60))</f>
        <v/>
      </c>
      <c r="G60">
        <f>IFERROR(INDEX(MOVIMIENTOS!$P$5:$P$10004,AGGREGATE(15,6,(ROW(MOVIMIENTOS!$P$5:$P$10004)-ROW(MOVIMIENTOS!$P$5)+1)/(((MOVIMIENTOS!$C$5:$C$10004="Gasto")+(MOVIMIENTOS!$C$5:$C$10004="Compra"))*(MOVIMIENTOS!$P$5:$P$10004="Pendiente")),ROWS($A$5:A60))),"")</f>
        <v/>
      </c>
    </row>
    <row r="61">
      <c r="A61">
        <f>IFERROR(INDEX(MOVIMIENTOS!$A$5:$A$10004,AGGREGATE(15,6,(ROW(MOVIMIENTOS!$P$5:$P$10004)-ROW(MOVIMIENTOS!$P$5)+1)/(((MOVIMIENTOS!$C$5:$C$10004="Gasto")+(MOVIMIENTOS!$C$5:$C$10004="Compra"))*(MOVIMIENTOS!$P$5:$P$10004="Pendiente")),ROWS($A$5:A61))),"")</f>
        <v/>
      </c>
      <c r="B61">
        <f>IFERROR(INDEX(MOVIMIENTOS!$B$5:$B$10004,AGGREGATE(15,6,(ROW(MOVIMIENTOS!$P$5:$P$10004)-ROW(MOVIMIENTOS!$P$5)+1)/(((MOVIMIENTOS!$C$5:$C$10004="Gasto")+(MOVIMIENTOS!$C$5:$C$10004="Compra"))*(MOVIMIENTOS!$P$5:$P$10004="Pendiente")),ROWS($A$5:A61))),"")</f>
        <v/>
      </c>
      <c r="C61">
        <f>IFERROR(INDEX(MOVIMIENTOS!$E$5:$E$10004,AGGREGATE(15,6,(ROW(MOVIMIENTOS!$P$5:$P$10004)-ROW(MOVIMIENTOS!$P$5)+1)/(((MOVIMIENTOS!$C$5:$C$10004="Gasto")+(MOVIMIENTOS!$C$5:$C$10004="Compra"))*(MOVIMIENTOS!$P$5:$P$10004="Pendiente")),ROWS($A$5:A61))),"")</f>
        <v/>
      </c>
      <c r="D61">
        <f>IFERROR(INDEX(MOVIMIENTOS!$D$5:$D$10004,AGGREGATE(15,6,(ROW(MOVIMIENTOS!$P$5:$P$10004)-ROW(MOVIMIENTOS!$P$5)+1)/(((MOVIMIENTOS!$C$5:$C$10004="Gasto")+(MOVIMIENTOS!$C$5:$C$10004="Compra"))*(MOVIMIENTOS!$P$5:$P$10004="Pendiente")),ROWS($A$5:A61))),"")</f>
        <v/>
      </c>
      <c r="E61">
        <f>IFERROR(INDEX(MOVIMIENTOS!$O$5:$O$10004,AGGREGATE(15,6,(ROW(MOVIMIENTOS!$P$5:$P$10004)-ROW(MOVIMIENTOS!$P$5)+1)/(((MOVIMIENTOS!$C$5:$C$10004="Gasto")+(MOVIMIENTOS!$C$5:$C$10004="Compra"))*(MOVIMIENTOS!$P$5:$P$10004="Pendiente")),ROWS($A$5:A61))),"")</f>
        <v/>
      </c>
      <c r="F61">
        <f>IF(A61="","",MAX(0,TODAY()-B61))</f>
        <v/>
      </c>
      <c r="G61">
        <f>IFERROR(INDEX(MOVIMIENTOS!$P$5:$P$10004,AGGREGATE(15,6,(ROW(MOVIMIENTOS!$P$5:$P$10004)-ROW(MOVIMIENTOS!$P$5)+1)/(((MOVIMIENTOS!$C$5:$C$10004="Gasto")+(MOVIMIENTOS!$C$5:$C$10004="Compra"))*(MOVIMIENTOS!$P$5:$P$10004="Pendiente")),ROWS($A$5:A61))),"")</f>
        <v/>
      </c>
    </row>
    <row r="62">
      <c r="A62">
        <f>IFERROR(INDEX(MOVIMIENTOS!$A$5:$A$10004,AGGREGATE(15,6,(ROW(MOVIMIENTOS!$P$5:$P$10004)-ROW(MOVIMIENTOS!$P$5)+1)/(((MOVIMIENTOS!$C$5:$C$10004="Gasto")+(MOVIMIENTOS!$C$5:$C$10004="Compra"))*(MOVIMIENTOS!$P$5:$P$10004="Pendiente")),ROWS($A$5:A62))),"")</f>
        <v/>
      </c>
      <c r="B62">
        <f>IFERROR(INDEX(MOVIMIENTOS!$B$5:$B$10004,AGGREGATE(15,6,(ROW(MOVIMIENTOS!$P$5:$P$10004)-ROW(MOVIMIENTOS!$P$5)+1)/(((MOVIMIENTOS!$C$5:$C$10004="Gasto")+(MOVIMIENTOS!$C$5:$C$10004="Compra"))*(MOVIMIENTOS!$P$5:$P$10004="Pendiente")),ROWS($A$5:A62))),"")</f>
        <v/>
      </c>
      <c r="C62">
        <f>IFERROR(INDEX(MOVIMIENTOS!$E$5:$E$10004,AGGREGATE(15,6,(ROW(MOVIMIENTOS!$P$5:$P$10004)-ROW(MOVIMIENTOS!$P$5)+1)/(((MOVIMIENTOS!$C$5:$C$10004="Gasto")+(MOVIMIENTOS!$C$5:$C$10004="Compra"))*(MOVIMIENTOS!$P$5:$P$10004="Pendiente")),ROWS($A$5:A62))),"")</f>
        <v/>
      </c>
      <c r="D62">
        <f>IFERROR(INDEX(MOVIMIENTOS!$D$5:$D$10004,AGGREGATE(15,6,(ROW(MOVIMIENTOS!$P$5:$P$10004)-ROW(MOVIMIENTOS!$P$5)+1)/(((MOVIMIENTOS!$C$5:$C$10004="Gasto")+(MOVIMIENTOS!$C$5:$C$10004="Compra"))*(MOVIMIENTOS!$P$5:$P$10004="Pendiente")),ROWS($A$5:A62))),"")</f>
        <v/>
      </c>
      <c r="E62">
        <f>IFERROR(INDEX(MOVIMIENTOS!$O$5:$O$10004,AGGREGATE(15,6,(ROW(MOVIMIENTOS!$P$5:$P$10004)-ROW(MOVIMIENTOS!$P$5)+1)/(((MOVIMIENTOS!$C$5:$C$10004="Gasto")+(MOVIMIENTOS!$C$5:$C$10004="Compra"))*(MOVIMIENTOS!$P$5:$P$10004="Pendiente")),ROWS($A$5:A62))),"")</f>
        <v/>
      </c>
      <c r="F62">
        <f>IF(A62="","",MAX(0,TODAY()-B62))</f>
        <v/>
      </c>
      <c r="G62">
        <f>IFERROR(INDEX(MOVIMIENTOS!$P$5:$P$10004,AGGREGATE(15,6,(ROW(MOVIMIENTOS!$P$5:$P$10004)-ROW(MOVIMIENTOS!$P$5)+1)/(((MOVIMIENTOS!$C$5:$C$10004="Gasto")+(MOVIMIENTOS!$C$5:$C$10004="Compra"))*(MOVIMIENTOS!$P$5:$P$10004="Pendiente")),ROWS($A$5:A62))),"")</f>
        <v/>
      </c>
    </row>
    <row r="63">
      <c r="A63">
        <f>IFERROR(INDEX(MOVIMIENTOS!$A$5:$A$10004,AGGREGATE(15,6,(ROW(MOVIMIENTOS!$P$5:$P$10004)-ROW(MOVIMIENTOS!$P$5)+1)/(((MOVIMIENTOS!$C$5:$C$10004="Gasto")+(MOVIMIENTOS!$C$5:$C$10004="Compra"))*(MOVIMIENTOS!$P$5:$P$10004="Pendiente")),ROWS($A$5:A63))),"")</f>
        <v/>
      </c>
      <c r="B63">
        <f>IFERROR(INDEX(MOVIMIENTOS!$B$5:$B$10004,AGGREGATE(15,6,(ROW(MOVIMIENTOS!$P$5:$P$10004)-ROW(MOVIMIENTOS!$P$5)+1)/(((MOVIMIENTOS!$C$5:$C$10004="Gasto")+(MOVIMIENTOS!$C$5:$C$10004="Compra"))*(MOVIMIENTOS!$P$5:$P$10004="Pendiente")),ROWS($A$5:A63))),"")</f>
        <v/>
      </c>
      <c r="C63">
        <f>IFERROR(INDEX(MOVIMIENTOS!$E$5:$E$10004,AGGREGATE(15,6,(ROW(MOVIMIENTOS!$P$5:$P$10004)-ROW(MOVIMIENTOS!$P$5)+1)/(((MOVIMIENTOS!$C$5:$C$10004="Gasto")+(MOVIMIENTOS!$C$5:$C$10004="Compra"))*(MOVIMIENTOS!$P$5:$P$10004="Pendiente")),ROWS($A$5:A63))),"")</f>
        <v/>
      </c>
      <c r="D63">
        <f>IFERROR(INDEX(MOVIMIENTOS!$D$5:$D$10004,AGGREGATE(15,6,(ROW(MOVIMIENTOS!$P$5:$P$10004)-ROW(MOVIMIENTOS!$P$5)+1)/(((MOVIMIENTOS!$C$5:$C$10004="Gasto")+(MOVIMIENTOS!$C$5:$C$10004="Compra"))*(MOVIMIENTOS!$P$5:$P$10004="Pendiente")),ROWS($A$5:A63))),"")</f>
        <v/>
      </c>
      <c r="E63">
        <f>IFERROR(INDEX(MOVIMIENTOS!$O$5:$O$10004,AGGREGATE(15,6,(ROW(MOVIMIENTOS!$P$5:$P$10004)-ROW(MOVIMIENTOS!$P$5)+1)/(((MOVIMIENTOS!$C$5:$C$10004="Gasto")+(MOVIMIENTOS!$C$5:$C$10004="Compra"))*(MOVIMIENTOS!$P$5:$P$10004="Pendiente")),ROWS($A$5:A63))),"")</f>
        <v/>
      </c>
      <c r="F63">
        <f>IF(A63="","",MAX(0,TODAY()-B63))</f>
        <v/>
      </c>
      <c r="G63">
        <f>IFERROR(INDEX(MOVIMIENTOS!$P$5:$P$10004,AGGREGATE(15,6,(ROW(MOVIMIENTOS!$P$5:$P$10004)-ROW(MOVIMIENTOS!$P$5)+1)/(((MOVIMIENTOS!$C$5:$C$10004="Gasto")+(MOVIMIENTOS!$C$5:$C$10004="Compra"))*(MOVIMIENTOS!$P$5:$P$10004="Pendiente")),ROWS($A$5:A63))),"")</f>
        <v/>
      </c>
    </row>
    <row r="64">
      <c r="A64">
        <f>IFERROR(INDEX(MOVIMIENTOS!$A$5:$A$10004,AGGREGATE(15,6,(ROW(MOVIMIENTOS!$P$5:$P$10004)-ROW(MOVIMIENTOS!$P$5)+1)/(((MOVIMIENTOS!$C$5:$C$10004="Gasto")+(MOVIMIENTOS!$C$5:$C$10004="Compra"))*(MOVIMIENTOS!$P$5:$P$10004="Pendiente")),ROWS($A$5:A64))),"")</f>
        <v/>
      </c>
      <c r="B64">
        <f>IFERROR(INDEX(MOVIMIENTOS!$B$5:$B$10004,AGGREGATE(15,6,(ROW(MOVIMIENTOS!$P$5:$P$10004)-ROW(MOVIMIENTOS!$P$5)+1)/(((MOVIMIENTOS!$C$5:$C$10004="Gasto")+(MOVIMIENTOS!$C$5:$C$10004="Compra"))*(MOVIMIENTOS!$P$5:$P$10004="Pendiente")),ROWS($A$5:A64))),"")</f>
        <v/>
      </c>
      <c r="C64">
        <f>IFERROR(INDEX(MOVIMIENTOS!$E$5:$E$10004,AGGREGATE(15,6,(ROW(MOVIMIENTOS!$P$5:$P$10004)-ROW(MOVIMIENTOS!$P$5)+1)/(((MOVIMIENTOS!$C$5:$C$10004="Gasto")+(MOVIMIENTOS!$C$5:$C$10004="Compra"))*(MOVIMIENTOS!$P$5:$P$10004="Pendiente")),ROWS($A$5:A64))),"")</f>
        <v/>
      </c>
      <c r="D64">
        <f>IFERROR(INDEX(MOVIMIENTOS!$D$5:$D$10004,AGGREGATE(15,6,(ROW(MOVIMIENTOS!$P$5:$P$10004)-ROW(MOVIMIENTOS!$P$5)+1)/(((MOVIMIENTOS!$C$5:$C$10004="Gasto")+(MOVIMIENTOS!$C$5:$C$10004="Compra"))*(MOVIMIENTOS!$P$5:$P$10004="Pendiente")),ROWS($A$5:A64))),"")</f>
        <v/>
      </c>
      <c r="E64">
        <f>IFERROR(INDEX(MOVIMIENTOS!$O$5:$O$10004,AGGREGATE(15,6,(ROW(MOVIMIENTOS!$P$5:$P$10004)-ROW(MOVIMIENTOS!$P$5)+1)/(((MOVIMIENTOS!$C$5:$C$10004="Gasto")+(MOVIMIENTOS!$C$5:$C$10004="Compra"))*(MOVIMIENTOS!$P$5:$P$10004="Pendiente")),ROWS($A$5:A64))),"")</f>
        <v/>
      </c>
      <c r="F64">
        <f>IF(A64="","",MAX(0,TODAY()-B64))</f>
        <v/>
      </c>
      <c r="G64">
        <f>IFERROR(INDEX(MOVIMIENTOS!$P$5:$P$10004,AGGREGATE(15,6,(ROW(MOVIMIENTOS!$P$5:$P$10004)-ROW(MOVIMIENTOS!$P$5)+1)/(((MOVIMIENTOS!$C$5:$C$10004="Gasto")+(MOVIMIENTOS!$C$5:$C$10004="Compra"))*(MOVIMIENTOS!$P$5:$P$10004="Pendiente")),ROWS($A$5:A64))),"")</f>
        <v/>
      </c>
    </row>
    <row r="65">
      <c r="A65">
        <f>IFERROR(INDEX(MOVIMIENTOS!$A$5:$A$10004,AGGREGATE(15,6,(ROW(MOVIMIENTOS!$P$5:$P$10004)-ROW(MOVIMIENTOS!$P$5)+1)/(((MOVIMIENTOS!$C$5:$C$10004="Gasto")+(MOVIMIENTOS!$C$5:$C$10004="Compra"))*(MOVIMIENTOS!$P$5:$P$10004="Pendiente")),ROWS($A$5:A65))),"")</f>
        <v/>
      </c>
      <c r="B65">
        <f>IFERROR(INDEX(MOVIMIENTOS!$B$5:$B$10004,AGGREGATE(15,6,(ROW(MOVIMIENTOS!$P$5:$P$10004)-ROW(MOVIMIENTOS!$P$5)+1)/(((MOVIMIENTOS!$C$5:$C$10004="Gasto")+(MOVIMIENTOS!$C$5:$C$10004="Compra"))*(MOVIMIENTOS!$P$5:$P$10004="Pendiente")),ROWS($A$5:A65))),"")</f>
        <v/>
      </c>
      <c r="C65">
        <f>IFERROR(INDEX(MOVIMIENTOS!$E$5:$E$10004,AGGREGATE(15,6,(ROW(MOVIMIENTOS!$P$5:$P$10004)-ROW(MOVIMIENTOS!$P$5)+1)/(((MOVIMIENTOS!$C$5:$C$10004="Gasto")+(MOVIMIENTOS!$C$5:$C$10004="Compra"))*(MOVIMIENTOS!$P$5:$P$10004="Pendiente")),ROWS($A$5:A65))),"")</f>
        <v/>
      </c>
      <c r="D65">
        <f>IFERROR(INDEX(MOVIMIENTOS!$D$5:$D$10004,AGGREGATE(15,6,(ROW(MOVIMIENTOS!$P$5:$P$10004)-ROW(MOVIMIENTOS!$P$5)+1)/(((MOVIMIENTOS!$C$5:$C$10004="Gasto")+(MOVIMIENTOS!$C$5:$C$10004="Compra"))*(MOVIMIENTOS!$P$5:$P$10004="Pendiente")),ROWS($A$5:A65))),"")</f>
        <v/>
      </c>
      <c r="E65">
        <f>IFERROR(INDEX(MOVIMIENTOS!$O$5:$O$10004,AGGREGATE(15,6,(ROW(MOVIMIENTOS!$P$5:$P$10004)-ROW(MOVIMIENTOS!$P$5)+1)/(((MOVIMIENTOS!$C$5:$C$10004="Gasto")+(MOVIMIENTOS!$C$5:$C$10004="Compra"))*(MOVIMIENTOS!$P$5:$P$10004="Pendiente")),ROWS($A$5:A65))),"")</f>
        <v/>
      </c>
      <c r="F65">
        <f>IF(A65="","",MAX(0,TODAY()-B65))</f>
        <v/>
      </c>
      <c r="G65">
        <f>IFERROR(INDEX(MOVIMIENTOS!$P$5:$P$10004,AGGREGATE(15,6,(ROW(MOVIMIENTOS!$P$5:$P$10004)-ROW(MOVIMIENTOS!$P$5)+1)/(((MOVIMIENTOS!$C$5:$C$10004="Gasto")+(MOVIMIENTOS!$C$5:$C$10004="Compra"))*(MOVIMIENTOS!$P$5:$P$10004="Pendiente")),ROWS($A$5:A65))),"")</f>
        <v/>
      </c>
    </row>
    <row r="66">
      <c r="A66">
        <f>IFERROR(INDEX(MOVIMIENTOS!$A$5:$A$10004,AGGREGATE(15,6,(ROW(MOVIMIENTOS!$P$5:$P$10004)-ROW(MOVIMIENTOS!$P$5)+1)/(((MOVIMIENTOS!$C$5:$C$10004="Gasto")+(MOVIMIENTOS!$C$5:$C$10004="Compra"))*(MOVIMIENTOS!$P$5:$P$10004="Pendiente")),ROWS($A$5:A66))),"")</f>
        <v/>
      </c>
      <c r="B66">
        <f>IFERROR(INDEX(MOVIMIENTOS!$B$5:$B$10004,AGGREGATE(15,6,(ROW(MOVIMIENTOS!$P$5:$P$10004)-ROW(MOVIMIENTOS!$P$5)+1)/(((MOVIMIENTOS!$C$5:$C$10004="Gasto")+(MOVIMIENTOS!$C$5:$C$10004="Compra"))*(MOVIMIENTOS!$P$5:$P$10004="Pendiente")),ROWS($A$5:A66))),"")</f>
        <v/>
      </c>
      <c r="C66">
        <f>IFERROR(INDEX(MOVIMIENTOS!$E$5:$E$10004,AGGREGATE(15,6,(ROW(MOVIMIENTOS!$P$5:$P$10004)-ROW(MOVIMIENTOS!$P$5)+1)/(((MOVIMIENTOS!$C$5:$C$10004="Gasto")+(MOVIMIENTOS!$C$5:$C$10004="Compra"))*(MOVIMIENTOS!$P$5:$P$10004="Pendiente")),ROWS($A$5:A66))),"")</f>
        <v/>
      </c>
      <c r="D66">
        <f>IFERROR(INDEX(MOVIMIENTOS!$D$5:$D$10004,AGGREGATE(15,6,(ROW(MOVIMIENTOS!$P$5:$P$10004)-ROW(MOVIMIENTOS!$P$5)+1)/(((MOVIMIENTOS!$C$5:$C$10004="Gasto")+(MOVIMIENTOS!$C$5:$C$10004="Compra"))*(MOVIMIENTOS!$P$5:$P$10004="Pendiente")),ROWS($A$5:A66))),"")</f>
        <v/>
      </c>
      <c r="E66">
        <f>IFERROR(INDEX(MOVIMIENTOS!$O$5:$O$10004,AGGREGATE(15,6,(ROW(MOVIMIENTOS!$P$5:$P$10004)-ROW(MOVIMIENTOS!$P$5)+1)/(((MOVIMIENTOS!$C$5:$C$10004="Gasto")+(MOVIMIENTOS!$C$5:$C$10004="Compra"))*(MOVIMIENTOS!$P$5:$P$10004="Pendiente")),ROWS($A$5:A66))),"")</f>
        <v/>
      </c>
      <c r="F66">
        <f>IF(A66="","",MAX(0,TODAY()-B66))</f>
        <v/>
      </c>
      <c r="G66">
        <f>IFERROR(INDEX(MOVIMIENTOS!$P$5:$P$10004,AGGREGATE(15,6,(ROW(MOVIMIENTOS!$P$5:$P$10004)-ROW(MOVIMIENTOS!$P$5)+1)/(((MOVIMIENTOS!$C$5:$C$10004="Gasto")+(MOVIMIENTOS!$C$5:$C$10004="Compra"))*(MOVIMIENTOS!$P$5:$P$10004="Pendiente")),ROWS($A$5:A66))),"")</f>
        <v/>
      </c>
    </row>
    <row r="67">
      <c r="A67">
        <f>IFERROR(INDEX(MOVIMIENTOS!$A$5:$A$10004,AGGREGATE(15,6,(ROW(MOVIMIENTOS!$P$5:$P$10004)-ROW(MOVIMIENTOS!$P$5)+1)/(((MOVIMIENTOS!$C$5:$C$10004="Gasto")+(MOVIMIENTOS!$C$5:$C$10004="Compra"))*(MOVIMIENTOS!$P$5:$P$10004="Pendiente")),ROWS($A$5:A67))),"")</f>
        <v/>
      </c>
      <c r="B67">
        <f>IFERROR(INDEX(MOVIMIENTOS!$B$5:$B$10004,AGGREGATE(15,6,(ROW(MOVIMIENTOS!$P$5:$P$10004)-ROW(MOVIMIENTOS!$P$5)+1)/(((MOVIMIENTOS!$C$5:$C$10004="Gasto")+(MOVIMIENTOS!$C$5:$C$10004="Compra"))*(MOVIMIENTOS!$P$5:$P$10004="Pendiente")),ROWS($A$5:A67))),"")</f>
        <v/>
      </c>
      <c r="C67">
        <f>IFERROR(INDEX(MOVIMIENTOS!$E$5:$E$10004,AGGREGATE(15,6,(ROW(MOVIMIENTOS!$P$5:$P$10004)-ROW(MOVIMIENTOS!$P$5)+1)/(((MOVIMIENTOS!$C$5:$C$10004="Gasto")+(MOVIMIENTOS!$C$5:$C$10004="Compra"))*(MOVIMIENTOS!$P$5:$P$10004="Pendiente")),ROWS($A$5:A67))),"")</f>
        <v/>
      </c>
      <c r="D67">
        <f>IFERROR(INDEX(MOVIMIENTOS!$D$5:$D$10004,AGGREGATE(15,6,(ROW(MOVIMIENTOS!$P$5:$P$10004)-ROW(MOVIMIENTOS!$P$5)+1)/(((MOVIMIENTOS!$C$5:$C$10004="Gasto")+(MOVIMIENTOS!$C$5:$C$10004="Compra"))*(MOVIMIENTOS!$P$5:$P$10004="Pendiente")),ROWS($A$5:A67))),"")</f>
        <v/>
      </c>
      <c r="E67">
        <f>IFERROR(INDEX(MOVIMIENTOS!$O$5:$O$10004,AGGREGATE(15,6,(ROW(MOVIMIENTOS!$P$5:$P$10004)-ROW(MOVIMIENTOS!$P$5)+1)/(((MOVIMIENTOS!$C$5:$C$10004="Gasto")+(MOVIMIENTOS!$C$5:$C$10004="Compra"))*(MOVIMIENTOS!$P$5:$P$10004="Pendiente")),ROWS($A$5:A67))),"")</f>
        <v/>
      </c>
      <c r="F67">
        <f>IF(A67="","",MAX(0,TODAY()-B67))</f>
        <v/>
      </c>
      <c r="G67">
        <f>IFERROR(INDEX(MOVIMIENTOS!$P$5:$P$10004,AGGREGATE(15,6,(ROW(MOVIMIENTOS!$P$5:$P$10004)-ROW(MOVIMIENTOS!$P$5)+1)/(((MOVIMIENTOS!$C$5:$C$10004="Gasto")+(MOVIMIENTOS!$C$5:$C$10004="Compra"))*(MOVIMIENTOS!$P$5:$P$10004="Pendiente")),ROWS($A$5:A67))),"")</f>
        <v/>
      </c>
    </row>
    <row r="68">
      <c r="A68">
        <f>IFERROR(INDEX(MOVIMIENTOS!$A$5:$A$10004,AGGREGATE(15,6,(ROW(MOVIMIENTOS!$P$5:$P$10004)-ROW(MOVIMIENTOS!$P$5)+1)/(((MOVIMIENTOS!$C$5:$C$10004="Gasto")+(MOVIMIENTOS!$C$5:$C$10004="Compra"))*(MOVIMIENTOS!$P$5:$P$10004="Pendiente")),ROWS($A$5:A68))),"")</f>
        <v/>
      </c>
      <c r="B68">
        <f>IFERROR(INDEX(MOVIMIENTOS!$B$5:$B$10004,AGGREGATE(15,6,(ROW(MOVIMIENTOS!$P$5:$P$10004)-ROW(MOVIMIENTOS!$P$5)+1)/(((MOVIMIENTOS!$C$5:$C$10004="Gasto")+(MOVIMIENTOS!$C$5:$C$10004="Compra"))*(MOVIMIENTOS!$P$5:$P$10004="Pendiente")),ROWS($A$5:A68))),"")</f>
        <v/>
      </c>
      <c r="C68">
        <f>IFERROR(INDEX(MOVIMIENTOS!$E$5:$E$10004,AGGREGATE(15,6,(ROW(MOVIMIENTOS!$P$5:$P$10004)-ROW(MOVIMIENTOS!$P$5)+1)/(((MOVIMIENTOS!$C$5:$C$10004="Gasto")+(MOVIMIENTOS!$C$5:$C$10004="Compra"))*(MOVIMIENTOS!$P$5:$P$10004="Pendiente")),ROWS($A$5:A68))),"")</f>
        <v/>
      </c>
      <c r="D68">
        <f>IFERROR(INDEX(MOVIMIENTOS!$D$5:$D$10004,AGGREGATE(15,6,(ROW(MOVIMIENTOS!$P$5:$P$10004)-ROW(MOVIMIENTOS!$P$5)+1)/(((MOVIMIENTOS!$C$5:$C$10004="Gasto")+(MOVIMIENTOS!$C$5:$C$10004="Compra"))*(MOVIMIENTOS!$P$5:$P$10004="Pendiente")),ROWS($A$5:A68))),"")</f>
        <v/>
      </c>
      <c r="E68">
        <f>IFERROR(INDEX(MOVIMIENTOS!$O$5:$O$10004,AGGREGATE(15,6,(ROW(MOVIMIENTOS!$P$5:$P$10004)-ROW(MOVIMIENTOS!$P$5)+1)/(((MOVIMIENTOS!$C$5:$C$10004="Gasto")+(MOVIMIENTOS!$C$5:$C$10004="Compra"))*(MOVIMIENTOS!$P$5:$P$10004="Pendiente")),ROWS($A$5:A68))),"")</f>
        <v/>
      </c>
      <c r="F68">
        <f>IF(A68="","",MAX(0,TODAY()-B68))</f>
        <v/>
      </c>
      <c r="G68">
        <f>IFERROR(INDEX(MOVIMIENTOS!$P$5:$P$10004,AGGREGATE(15,6,(ROW(MOVIMIENTOS!$P$5:$P$10004)-ROW(MOVIMIENTOS!$P$5)+1)/(((MOVIMIENTOS!$C$5:$C$10004="Gasto")+(MOVIMIENTOS!$C$5:$C$10004="Compra"))*(MOVIMIENTOS!$P$5:$P$10004="Pendiente")),ROWS($A$5:A68))),"")</f>
        <v/>
      </c>
    </row>
    <row r="69">
      <c r="A69">
        <f>IFERROR(INDEX(MOVIMIENTOS!$A$5:$A$10004,AGGREGATE(15,6,(ROW(MOVIMIENTOS!$P$5:$P$10004)-ROW(MOVIMIENTOS!$P$5)+1)/(((MOVIMIENTOS!$C$5:$C$10004="Gasto")+(MOVIMIENTOS!$C$5:$C$10004="Compra"))*(MOVIMIENTOS!$P$5:$P$10004="Pendiente")),ROWS($A$5:A69))),"")</f>
        <v/>
      </c>
      <c r="B69">
        <f>IFERROR(INDEX(MOVIMIENTOS!$B$5:$B$10004,AGGREGATE(15,6,(ROW(MOVIMIENTOS!$P$5:$P$10004)-ROW(MOVIMIENTOS!$P$5)+1)/(((MOVIMIENTOS!$C$5:$C$10004="Gasto")+(MOVIMIENTOS!$C$5:$C$10004="Compra"))*(MOVIMIENTOS!$P$5:$P$10004="Pendiente")),ROWS($A$5:A69))),"")</f>
        <v/>
      </c>
      <c r="C69">
        <f>IFERROR(INDEX(MOVIMIENTOS!$E$5:$E$10004,AGGREGATE(15,6,(ROW(MOVIMIENTOS!$P$5:$P$10004)-ROW(MOVIMIENTOS!$P$5)+1)/(((MOVIMIENTOS!$C$5:$C$10004="Gasto")+(MOVIMIENTOS!$C$5:$C$10004="Compra"))*(MOVIMIENTOS!$P$5:$P$10004="Pendiente")),ROWS($A$5:A69))),"")</f>
        <v/>
      </c>
      <c r="D69">
        <f>IFERROR(INDEX(MOVIMIENTOS!$D$5:$D$10004,AGGREGATE(15,6,(ROW(MOVIMIENTOS!$P$5:$P$10004)-ROW(MOVIMIENTOS!$P$5)+1)/(((MOVIMIENTOS!$C$5:$C$10004="Gasto")+(MOVIMIENTOS!$C$5:$C$10004="Compra"))*(MOVIMIENTOS!$P$5:$P$10004="Pendiente")),ROWS($A$5:A69))),"")</f>
        <v/>
      </c>
      <c r="E69">
        <f>IFERROR(INDEX(MOVIMIENTOS!$O$5:$O$10004,AGGREGATE(15,6,(ROW(MOVIMIENTOS!$P$5:$P$10004)-ROW(MOVIMIENTOS!$P$5)+1)/(((MOVIMIENTOS!$C$5:$C$10004="Gasto")+(MOVIMIENTOS!$C$5:$C$10004="Compra"))*(MOVIMIENTOS!$P$5:$P$10004="Pendiente")),ROWS($A$5:A69))),"")</f>
        <v/>
      </c>
      <c r="F69">
        <f>IF(A69="","",MAX(0,TODAY()-B69))</f>
        <v/>
      </c>
      <c r="G69">
        <f>IFERROR(INDEX(MOVIMIENTOS!$P$5:$P$10004,AGGREGATE(15,6,(ROW(MOVIMIENTOS!$P$5:$P$10004)-ROW(MOVIMIENTOS!$P$5)+1)/(((MOVIMIENTOS!$C$5:$C$10004="Gasto")+(MOVIMIENTOS!$C$5:$C$10004="Compra"))*(MOVIMIENTOS!$P$5:$P$10004="Pendiente")),ROWS($A$5:A69))),"")</f>
        <v/>
      </c>
    </row>
    <row r="70">
      <c r="A70">
        <f>IFERROR(INDEX(MOVIMIENTOS!$A$5:$A$10004,AGGREGATE(15,6,(ROW(MOVIMIENTOS!$P$5:$P$10004)-ROW(MOVIMIENTOS!$P$5)+1)/(((MOVIMIENTOS!$C$5:$C$10004="Gasto")+(MOVIMIENTOS!$C$5:$C$10004="Compra"))*(MOVIMIENTOS!$P$5:$P$10004="Pendiente")),ROWS($A$5:A70))),"")</f>
        <v/>
      </c>
      <c r="B70">
        <f>IFERROR(INDEX(MOVIMIENTOS!$B$5:$B$10004,AGGREGATE(15,6,(ROW(MOVIMIENTOS!$P$5:$P$10004)-ROW(MOVIMIENTOS!$P$5)+1)/(((MOVIMIENTOS!$C$5:$C$10004="Gasto")+(MOVIMIENTOS!$C$5:$C$10004="Compra"))*(MOVIMIENTOS!$P$5:$P$10004="Pendiente")),ROWS($A$5:A70))),"")</f>
        <v/>
      </c>
      <c r="C70">
        <f>IFERROR(INDEX(MOVIMIENTOS!$E$5:$E$10004,AGGREGATE(15,6,(ROW(MOVIMIENTOS!$P$5:$P$10004)-ROW(MOVIMIENTOS!$P$5)+1)/(((MOVIMIENTOS!$C$5:$C$10004="Gasto")+(MOVIMIENTOS!$C$5:$C$10004="Compra"))*(MOVIMIENTOS!$P$5:$P$10004="Pendiente")),ROWS($A$5:A70))),"")</f>
        <v/>
      </c>
      <c r="D70">
        <f>IFERROR(INDEX(MOVIMIENTOS!$D$5:$D$10004,AGGREGATE(15,6,(ROW(MOVIMIENTOS!$P$5:$P$10004)-ROW(MOVIMIENTOS!$P$5)+1)/(((MOVIMIENTOS!$C$5:$C$10004="Gasto")+(MOVIMIENTOS!$C$5:$C$10004="Compra"))*(MOVIMIENTOS!$P$5:$P$10004="Pendiente")),ROWS($A$5:A70))),"")</f>
        <v/>
      </c>
      <c r="E70">
        <f>IFERROR(INDEX(MOVIMIENTOS!$O$5:$O$10004,AGGREGATE(15,6,(ROW(MOVIMIENTOS!$P$5:$P$10004)-ROW(MOVIMIENTOS!$P$5)+1)/(((MOVIMIENTOS!$C$5:$C$10004="Gasto")+(MOVIMIENTOS!$C$5:$C$10004="Compra"))*(MOVIMIENTOS!$P$5:$P$10004="Pendiente")),ROWS($A$5:A70))),"")</f>
        <v/>
      </c>
      <c r="F70">
        <f>IF(A70="","",MAX(0,TODAY()-B70))</f>
        <v/>
      </c>
      <c r="G70">
        <f>IFERROR(INDEX(MOVIMIENTOS!$P$5:$P$10004,AGGREGATE(15,6,(ROW(MOVIMIENTOS!$P$5:$P$10004)-ROW(MOVIMIENTOS!$P$5)+1)/(((MOVIMIENTOS!$C$5:$C$10004="Gasto")+(MOVIMIENTOS!$C$5:$C$10004="Compra"))*(MOVIMIENTOS!$P$5:$P$10004="Pendiente")),ROWS($A$5:A70))),"")</f>
        <v/>
      </c>
    </row>
    <row r="71">
      <c r="A71">
        <f>IFERROR(INDEX(MOVIMIENTOS!$A$5:$A$10004,AGGREGATE(15,6,(ROW(MOVIMIENTOS!$P$5:$P$10004)-ROW(MOVIMIENTOS!$P$5)+1)/(((MOVIMIENTOS!$C$5:$C$10004="Gasto")+(MOVIMIENTOS!$C$5:$C$10004="Compra"))*(MOVIMIENTOS!$P$5:$P$10004="Pendiente")),ROWS($A$5:A71))),"")</f>
        <v/>
      </c>
      <c r="B71">
        <f>IFERROR(INDEX(MOVIMIENTOS!$B$5:$B$10004,AGGREGATE(15,6,(ROW(MOVIMIENTOS!$P$5:$P$10004)-ROW(MOVIMIENTOS!$P$5)+1)/(((MOVIMIENTOS!$C$5:$C$10004="Gasto")+(MOVIMIENTOS!$C$5:$C$10004="Compra"))*(MOVIMIENTOS!$P$5:$P$10004="Pendiente")),ROWS($A$5:A71))),"")</f>
        <v/>
      </c>
      <c r="C71">
        <f>IFERROR(INDEX(MOVIMIENTOS!$E$5:$E$10004,AGGREGATE(15,6,(ROW(MOVIMIENTOS!$P$5:$P$10004)-ROW(MOVIMIENTOS!$P$5)+1)/(((MOVIMIENTOS!$C$5:$C$10004="Gasto")+(MOVIMIENTOS!$C$5:$C$10004="Compra"))*(MOVIMIENTOS!$P$5:$P$10004="Pendiente")),ROWS($A$5:A71))),"")</f>
        <v/>
      </c>
      <c r="D71">
        <f>IFERROR(INDEX(MOVIMIENTOS!$D$5:$D$10004,AGGREGATE(15,6,(ROW(MOVIMIENTOS!$P$5:$P$10004)-ROW(MOVIMIENTOS!$P$5)+1)/(((MOVIMIENTOS!$C$5:$C$10004="Gasto")+(MOVIMIENTOS!$C$5:$C$10004="Compra"))*(MOVIMIENTOS!$P$5:$P$10004="Pendiente")),ROWS($A$5:A71))),"")</f>
        <v/>
      </c>
      <c r="E71">
        <f>IFERROR(INDEX(MOVIMIENTOS!$O$5:$O$10004,AGGREGATE(15,6,(ROW(MOVIMIENTOS!$P$5:$P$10004)-ROW(MOVIMIENTOS!$P$5)+1)/(((MOVIMIENTOS!$C$5:$C$10004="Gasto")+(MOVIMIENTOS!$C$5:$C$10004="Compra"))*(MOVIMIENTOS!$P$5:$P$10004="Pendiente")),ROWS($A$5:A71))),"")</f>
        <v/>
      </c>
      <c r="F71">
        <f>IF(A71="","",MAX(0,TODAY()-B71))</f>
        <v/>
      </c>
      <c r="G71">
        <f>IFERROR(INDEX(MOVIMIENTOS!$P$5:$P$10004,AGGREGATE(15,6,(ROW(MOVIMIENTOS!$P$5:$P$10004)-ROW(MOVIMIENTOS!$P$5)+1)/(((MOVIMIENTOS!$C$5:$C$10004="Gasto")+(MOVIMIENTOS!$C$5:$C$10004="Compra"))*(MOVIMIENTOS!$P$5:$P$10004="Pendiente")),ROWS($A$5:A71))),"")</f>
        <v/>
      </c>
    </row>
    <row r="72">
      <c r="A72">
        <f>IFERROR(INDEX(MOVIMIENTOS!$A$5:$A$10004,AGGREGATE(15,6,(ROW(MOVIMIENTOS!$P$5:$P$10004)-ROW(MOVIMIENTOS!$P$5)+1)/(((MOVIMIENTOS!$C$5:$C$10004="Gasto")+(MOVIMIENTOS!$C$5:$C$10004="Compra"))*(MOVIMIENTOS!$P$5:$P$10004="Pendiente")),ROWS($A$5:A72))),"")</f>
        <v/>
      </c>
      <c r="B72">
        <f>IFERROR(INDEX(MOVIMIENTOS!$B$5:$B$10004,AGGREGATE(15,6,(ROW(MOVIMIENTOS!$P$5:$P$10004)-ROW(MOVIMIENTOS!$P$5)+1)/(((MOVIMIENTOS!$C$5:$C$10004="Gasto")+(MOVIMIENTOS!$C$5:$C$10004="Compra"))*(MOVIMIENTOS!$P$5:$P$10004="Pendiente")),ROWS($A$5:A72))),"")</f>
        <v/>
      </c>
      <c r="C72">
        <f>IFERROR(INDEX(MOVIMIENTOS!$E$5:$E$10004,AGGREGATE(15,6,(ROW(MOVIMIENTOS!$P$5:$P$10004)-ROW(MOVIMIENTOS!$P$5)+1)/(((MOVIMIENTOS!$C$5:$C$10004="Gasto")+(MOVIMIENTOS!$C$5:$C$10004="Compra"))*(MOVIMIENTOS!$P$5:$P$10004="Pendiente")),ROWS($A$5:A72))),"")</f>
        <v/>
      </c>
      <c r="D72">
        <f>IFERROR(INDEX(MOVIMIENTOS!$D$5:$D$10004,AGGREGATE(15,6,(ROW(MOVIMIENTOS!$P$5:$P$10004)-ROW(MOVIMIENTOS!$P$5)+1)/(((MOVIMIENTOS!$C$5:$C$10004="Gasto")+(MOVIMIENTOS!$C$5:$C$10004="Compra"))*(MOVIMIENTOS!$P$5:$P$10004="Pendiente")),ROWS($A$5:A72))),"")</f>
        <v/>
      </c>
      <c r="E72">
        <f>IFERROR(INDEX(MOVIMIENTOS!$O$5:$O$10004,AGGREGATE(15,6,(ROW(MOVIMIENTOS!$P$5:$P$10004)-ROW(MOVIMIENTOS!$P$5)+1)/(((MOVIMIENTOS!$C$5:$C$10004="Gasto")+(MOVIMIENTOS!$C$5:$C$10004="Compra"))*(MOVIMIENTOS!$P$5:$P$10004="Pendiente")),ROWS($A$5:A72))),"")</f>
        <v/>
      </c>
      <c r="F72">
        <f>IF(A72="","",MAX(0,TODAY()-B72))</f>
        <v/>
      </c>
      <c r="G72">
        <f>IFERROR(INDEX(MOVIMIENTOS!$P$5:$P$10004,AGGREGATE(15,6,(ROW(MOVIMIENTOS!$P$5:$P$10004)-ROW(MOVIMIENTOS!$P$5)+1)/(((MOVIMIENTOS!$C$5:$C$10004="Gasto")+(MOVIMIENTOS!$C$5:$C$10004="Compra"))*(MOVIMIENTOS!$P$5:$P$10004="Pendiente")),ROWS($A$5:A72))),"")</f>
        <v/>
      </c>
    </row>
    <row r="73">
      <c r="A73">
        <f>IFERROR(INDEX(MOVIMIENTOS!$A$5:$A$10004,AGGREGATE(15,6,(ROW(MOVIMIENTOS!$P$5:$P$10004)-ROW(MOVIMIENTOS!$P$5)+1)/(((MOVIMIENTOS!$C$5:$C$10004="Gasto")+(MOVIMIENTOS!$C$5:$C$10004="Compra"))*(MOVIMIENTOS!$P$5:$P$10004="Pendiente")),ROWS($A$5:A73))),"")</f>
        <v/>
      </c>
      <c r="B73">
        <f>IFERROR(INDEX(MOVIMIENTOS!$B$5:$B$10004,AGGREGATE(15,6,(ROW(MOVIMIENTOS!$P$5:$P$10004)-ROW(MOVIMIENTOS!$P$5)+1)/(((MOVIMIENTOS!$C$5:$C$10004="Gasto")+(MOVIMIENTOS!$C$5:$C$10004="Compra"))*(MOVIMIENTOS!$P$5:$P$10004="Pendiente")),ROWS($A$5:A73))),"")</f>
        <v/>
      </c>
      <c r="C73">
        <f>IFERROR(INDEX(MOVIMIENTOS!$E$5:$E$10004,AGGREGATE(15,6,(ROW(MOVIMIENTOS!$P$5:$P$10004)-ROW(MOVIMIENTOS!$P$5)+1)/(((MOVIMIENTOS!$C$5:$C$10004="Gasto")+(MOVIMIENTOS!$C$5:$C$10004="Compra"))*(MOVIMIENTOS!$P$5:$P$10004="Pendiente")),ROWS($A$5:A73))),"")</f>
        <v/>
      </c>
      <c r="D73">
        <f>IFERROR(INDEX(MOVIMIENTOS!$D$5:$D$10004,AGGREGATE(15,6,(ROW(MOVIMIENTOS!$P$5:$P$10004)-ROW(MOVIMIENTOS!$P$5)+1)/(((MOVIMIENTOS!$C$5:$C$10004="Gasto")+(MOVIMIENTOS!$C$5:$C$10004="Compra"))*(MOVIMIENTOS!$P$5:$P$10004="Pendiente")),ROWS($A$5:A73))),"")</f>
        <v/>
      </c>
      <c r="E73">
        <f>IFERROR(INDEX(MOVIMIENTOS!$O$5:$O$10004,AGGREGATE(15,6,(ROW(MOVIMIENTOS!$P$5:$P$10004)-ROW(MOVIMIENTOS!$P$5)+1)/(((MOVIMIENTOS!$C$5:$C$10004="Gasto")+(MOVIMIENTOS!$C$5:$C$10004="Compra"))*(MOVIMIENTOS!$P$5:$P$10004="Pendiente")),ROWS($A$5:A73))),"")</f>
        <v/>
      </c>
      <c r="F73">
        <f>IF(A73="","",MAX(0,TODAY()-B73))</f>
        <v/>
      </c>
      <c r="G73">
        <f>IFERROR(INDEX(MOVIMIENTOS!$P$5:$P$10004,AGGREGATE(15,6,(ROW(MOVIMIENTOS!$P$5:$P$10004)-ROW(MOVIMIENTOS!$P$5)+1)/(((MOVIMIENTOS!$C$5:$C$10004="Gasto")+(MOVIMIENTOS!$C$5:$C$10004="Compra"))*(MOVIMIENTOS!$P$5:$P$10004="Pendiente")),ROWS($A$5:A73))),"")</f>
        <v/>
      </c>
    </row>
    <row r="74">
      <c r="A74">
        <f>IFERROR(INDEX(MOVIMIENTOS!$A$5:$A$10004,AGGREGATE(15,6,(ROW(MOVIMIENTOS!$P$5:$P$10004)-ROW(MOVIMIENTOS!$P$5)+1)/(((MOVIMIENTOS!$C$5:$C$10004="Gasto")+(MOVIMIENTOS!$C$5:$C$10004="Compra"))*(MOVIMIENTOS!$P$5:$P$10004="Pendiente")),ROWS($A$5:A74))),"")</f>
        <v/>
      </c>
      <c r="B74">
        <f>IFERROR(INDEX(MOVIMIENTOS!$B$5:$B$10004,AGGREGATE(15,6,(ROW(MOVIMIENTOS!$P$5:$P$10004)-ROW(MOVIMIENTOS!$P$5)+1)/(((MOVIMIENTOS!$C$5:$C$10004="Gasto")+(MOVIMIENTOS!$C$5:$C$10004="Compra"))*(MOVIMIENTOS!$P$5:$P$10004="Pendiente")),ROWS($A$5:A74))),"")</f>
        <v/>
      </c>
      <c r="C74">
        <f>IFERROR(INDEX(MOVIMIENTOS!$E$5:$E$10004,AGGREGATE(15,6,(ROW(MOVIMIENTOS!$P$5:$P$10004)-ROW(MOVIMIENTOS!$P$5)+1)/(((MOVIMIENTOS!$C$5:$C$10004="Gasto")+(MOVIMIENTOS!$C$5:$C$10004="Compra"))*(MOVIMIENTOS!$P$5:$P$10004="Pendiente")),ROWS($A$5:A74))),"")</f>
        <v/>
      </c>
      <c r="D74">
        <f>IFERROR(INDEX(MOVIMIENTOS!$D$5:$D$10004,AGGREGATE(15,6,(ROW(MOVIMIENTOS!$P$5:$P$10004)-ROW(MOVIMIENTOS!$P$5)+1)/(((MOVIMIENTOS!$C$5:$C$10004="Gasto")+(MOVIMIENTOS!$C$5:$C$10004="Compra"))*(MOVIMIENTOS!$P$5:$P$10004="Pendiente")),ROWS($A$5:A74))),"")</f>
        <v/>
      </c>
      <c r="E74">
        <f>IFERROR(INDEX(MOVIMIENTOS!$O$5:$O$10004,AGGREGATE(15,6,(ROW(MOVIMIENTOS!$P$5:$P$10004)-ROW(MOVIMIENTOS!$P$5)+1)/(((MOVIMIENTOS!$C$5:$C$10004="Gasto")+(MOVIMIENTOS!$C$5:$C$10004="Compra"))*(MOVIMIENTOS!$P$5:$P$10004="Pendiente")),ROWS($A$5:A74))),"")</f>
        <v/>
      </c>
      <c r="F74">
        <f>IF(A74="","",MAX(0,TODAY()-B74))</f>
        <v/>
      </c>
      <c r="G74">
        <f>IFERROR(INDEX(MOVIMIENTOS!$P$5:$P$10004,AGGREGATE(15,6,(ROW(MOVIMIENTOS!$P$5:$P$10004)-ROW(MOVIMIENTOS!$P$5)+1)/(((MOVIMIENTOS!$C$5:$C$10004="Gasto")+(MOVIMIENTOS!$C$5:$C$10004="Compra"))*(MOVIMIENTOS!$P$5:$P$10004="Pendiente")),ROWS($A$5:A74))),"")</f>
        <v/>
      </c>
    </row>
    <row r="75">
      <c r="A75">
        <f>IFERROR(INDEX(MOVIMIENTOS!$A$5:$A$10004,AGGREGATE(15,6,(ROW(MOVIMIENTOS!$P$5:$P$10004)-ROW(MOVIMIENTOS!$P$5)+1)/(((MOVIMIENTOS!$C$5:$C$10004="Gasto")+(MOVIMIENTOS!$C$5:$C$10004="Compra"))*(MOVIMIENTOS!$P$5:$P$10004="Pendiente")),ROWS($A$5:A75))),"")</f>
        <v/>
      </c>
      <c r="B75">
        <f>IFERROR(INDEX(MOVIMIENTOS!$B$5:$B$10004,AGGREGATE(15,6,(ROW(MOVIMIENTOS!$P$5:$P$10004)-ROW(MOVIMIENTOS!$P$5)+1)/(((MOVIMIENTOS!$C$5:$C$10004="Gasto")+(MOVIMIENTOS!$C$5:$C$10004="Compra"))*(MOVIMIENTOS!$P$5:$P$10004="Pendiente")),ROWS($A$5:A75))),"")</f>
        <v/>
      </c>
      <c r="C75">
        <f>IFERROR(INDEX(MOVIMIENTOS!$E$5:$E$10004,AGGREGATE(15,6,(ROW(MOVIMIENTOS!$P$5:$P$10004)-ROW(MOVIMIENTOS!$P$5)+1)/(((MOVIMIENTOS!$C$5:$C$10004="Gasto")+(MOVIMIENTOS!$C$5:$C$10004="Compra"))*(MOVIMIENTOS!$P$5:$P$10004="Pendiente")),ROWS($A$5:A75))),"")</f>
        <v/>
      </c>
      <c r="D75">
        <f>IFERROR(INDEX(MOVIMIENTOS!$D$5:$D$10004,AGGREGATE(15,6,(ROW(MOVIMIENTOS!$P$5:$P$10004)-ROW(MOVIMIENTOS!$P$5)+1)/(((MOVIMIENTOS!$C$5:$C$10004="Gasto")+(MOVIMIENTOS!$C$5:$C$10004="Compra"))*(MOVIMIENTOS!$P$5:$P$10004="Pendiente")),ROWS($A$5:A75))),"")</f>
        <v/>
      </c>
      <c r="E75">
        <f>IFERROR(INDEX(MOVIMIENTOS!$O$5:$O$10004,AGGREGATE(15,6,(ROW(MOVIMIENTOS!$P$5:$P$10004)-ROW(MOVIMIENTOS!$P$5)+1)/(((MOVIMIENTOS!$C$5:$C$10004="Gasto")+(MOVIMIENTOS!$C$5:$C$10004="Compra"))*(MOVIMIENTOS!$P$5:$P$10004="Pendiente")),ROWS($A$5:A75))),"")</f>
        <v/>
      </c>
      <c r="F75">
        <f>IF(A75="","",MAX(0,TODAY()-B75))</f>
        <v/>
      </c>
      <c r="G75">
        <f>IFERROR(INDEX(MOVIMIENTOS!$P$5:$P$10004,AGGREGATE(15,6,(ROW(MOVIMIENTOS!$P$5:$P$10004)-ROW(MOVIMIENTOS!$P$5)+1)/(((MOVIMIENTOS!$C$5:$C$10004="Gasto")+(MOVIMIENTOS!$C$5:$C$10004="Compra"))*(MOVIMIENTOS!$P$5:$P$10004="Pendiente")),ROWS($A$5:A75))),"")</f>
        <v/>
      </c>
    </row>
    <row r="76">
      <c r="A76">
        <f>IFERROR(INDEX(MOVIMIENTOS!$A$5:$A$10004,AGGREGATE(15,6,(ROW(MOVIMIENTOS!$P$5:$P$10004)-ROW(MOVIMIENTOS!$P$5)+1)/(((MOVIMIENTOS!$C$5:$C$10004="Gasto")+(MOVIMIENTOS!$C$5:$C$10004="Compra"))*(MOVIMIENTOS!$P$5:$P$10004="Pendiente")),ROWS($A$5:A76))),"")</f>
        <v/>
      </c>
      <c r="B76">
        <f>IFERROR(INDEX(MOVIMIENTOS!$B$5:$B$10004,AGGREGATE(15,6,(ROW(MOVIMIENTOS!$P$5:$P$10004)-ROW(MOVIMIENTOS!$P$5)+1)/(((MOVIMIENTOS!$C$5:$C$10004="Gasto")+(MOVIMIENTOS!$C$5:$C$10004="Compra"))*(MOVIMIENTOS!$P$5:$P$10004="Pendiente")),ROWS($A$5:A76))),"")</f>
        <v/>
      </c>
      <c r="C76">
        <f>IFERROR(INDEX(MOVIMIENTOS!$E$5:$E$10004,AGGREGATE(15,6,(ROW(MOVIMIENTOS!$P$5:$P$10004)-ROW(MOVIMIENTOS!$P$5)+1)/(((MOVIMIENTOS!$C$5:$C$10004="Gasto")+(MOVIMIENTOS!$C$5:$C$10004="Compra"))*(MOVIMIENTOS!$P$5:$P$10004="Pendiente")),ROWS($A$5:A76))),"")</f>
        <v/>
      </c>
      <c r="D76">
        <f>IFERROR(INDEX(MOVIMIENTOS!$D$5:$D$10004,AGGREGATE(15,6,(ROW(MOVIMIENTOS!$P$5:$P$10004)-ROW(MOVIMIENTOS!$P$5)+1)/(((MOVIMIENTOS!$C$5:$C$10004="Gasto")+(MOVIMIENTOS!$C$5:$C$10004="Compra"))*(MOVIMIENTOS!$P$5:$P$10004="Pendiente")),ROWS($A$5:A76))),"")</f>
        <v/>
      </c>
      <c r="E76">
        <f>IFERROR(INDEX(MOVIMIENTOS!$O$5:$O$10004,AGGREGATE(15,6,(ROW(MOVIMIENTOS!$P$5:$P$10004)-ROW(MOVIMIENTOS!$P$5)+1)/(((MOVIMIENTOS!$C$5:$C$10004="Gasto")+(MOVIMIENTOS!$C$5:$C$10004="Compra"))*(MOVIMIENTOS!$P$5:$P$10004="Pendiente")),ROWS($A$5:A76))),"")</f>
        <v/>
      </c>
      <c r="F76">
        <f>IF(A76="","",MAX(0,TODAY()-B76))</f>
        <v/>
      </c>
      <c r="G76">
        <f>IFERROR(INDEX(MOVIMIENTOS!$P$5:$P$10004,AGGREGATE(15,6,(ROW(MOVIMIENTOS!$P$5:$P$10004)-ROW(MOVIMIENTOS!$P$5)+1)/(((MOVIMIENTOS!$C$5:$C$10004="Gasto")+(MOVIMIENTOS!$C$5:$C$10004="Compra"))*(MOVIMIENTOS!$P$5:$P$10004="Pendiente")),ROWS($A$5:A76))),"")</f>
        <v/>
      </c>
    </row>
    <row r="77">
      <c r="A77">
        <f>IFERROR(INDEX(MOVIMIENTOS!$A$5:$A$10004,AGGREGATE(15,6,(ROW(MOVIMIENTOS!$P$5:$P$10004)-ROW(MOVIMIENTOS!$P$5)+1)/(((MOVIMIENTOS!$C$5:$C$10004="Gasto")+(MOVIMIENTOS!$C$5:$C$10004="Compra"))*(MOVIMIENTOS!$P$5:$P$10004="Pendiente")),ROWS($A$5:A77))),"")</f>
        <v/>
      </c>
      <c r="B77">
        <f>IFERROR(INDEX(MOVIMIENTOS!$B$5:$B$10004,AGGREGATE(15,6,(ROW(MOVIMIENTOS!$P$5:$P$10004)-ROW(MOVIMIENTOS!$P$5)+1)/(((MOVIMIENTOS!$C$5:$C$10004="Gasto")+(MOVIMIENTOS!$C$5:$C$10004="Compra"))*(MOVIMIENTOS!$P$5:$P$10004="Pendiente")),ROWS($A$5:A77))),"")</f>
        <v/>
      </c>
      <c r="C77">
        <f>IFERROR(INDEX(MOVIMIENTOS!$E$5:$E$10004,AGGREGATE(15,6,(ROW(MOVIMIENTOS!$P$5:$P$10004)-ROW(MOVIMIENTOS!$P$5)+1)/(((MOVIMIENTOS!$C$5:$C$10004="Gasto")+(MOVIMIENTOS!$C$5:$C$10004="Compra"))*(MOVIMIENTOS!$P$5:$P$10004="Pendiente")),ROWS($A$5:A77))),"")</f>
        <v/>
      </c>
      <c r="D77">
        <f>IFERROR(INDEX(MOVIMIENTOS!$D$5:$D$10004,AGGREGATE(15,6,(ROW(MOVIMIENTOS!$P$5:$P$10004)-ROW(MOVIMIENTOS!$P$5)+1)/(((MOVIMIENTOS!$C$5:$C$10004="Gasto")+(MOVIMIENTOS!$C$5:$C$10004="Compra"))*(MOVIMIENTOS!$P$5:$P$10004="Pendiente")),ROWS($A$5:A77))),"")</f>
        <v/>
      </c>
      <c r="E77">
        <f>IFERROR(INDEX(MOVIMIENTOS!$O$5:$O$10004,AGGREGATE(15,6,(ROW(MOVIMIENTOS!$P$5:$P$10004)-ROW(MOVIMIENTOS!$P$5)+1)/(((MOVIMIENTOS!$C$5:$C$10004="Gasto")+(MOVIMIENTOS!$C$5:$C$10004="Compra"))*(MOVIMIENTOS!$P$5:$P$10004="Pendiente")),ROWS($A$5:A77))),"")</f>
        <v/>
      </c>
      <c r="F77">
        <f>IF(A77="","",MAX(0,TODAY()-B77))</f>
        <v/>
      </c>
      <c r="G77">
        <f>IFERROR(INDEX(MOVIMIENTOS!$P$5:$P$10004,AGGREGATE(15,6,(ROW(MOVIMIENTOS!$P$5:$P$10004)-ROW(MOVIMIENTOS!$P$5)+1)/(((MOVIMIENTOS!$C$5:$C$10004="Gasto")+(MOVIMIENTOS!$C$5:$C$10004="Compra"))*(MOVIMIENTOS!$P$5:$P$10004="Pendiente")),ROWS($A$5:A77))),"")</f>
        <v/>
      </c>
    </row>
    <row r="78">
      <c r="A78">
        <f>IFERROR(INDEX(MOVIMIENTOS!$A$5:$A$10004,AGGREGATE(15,6,(ROW(MOVIMIENTOS!$P$5:$P$10004)-ROW(MOVIMIENTOS!$P$5)+1)/(((MOVIMIENTOS!$C$5:$C$10004="Gasto")+(MOVIMIENTOS!$C$5:$C$10004="Compra"))*(MOVIMIENTOS!$P$5:$P$10004="Pendiente")),ROWS($A$5:A78))),"")</f>
        <v/>
      </c>
      <c r="B78">
        <f>IFERROR(INDEX(MOVIMIENTOS!$B$5:$B$10004,AGGREGATE(15,6,(ROW(MOVIMIENTOS!$P$5:$P$10004)-ROW(MOVIMIENTOS!$P$5)+1)/(((MOVIMIENTOS!$C$5:$C$10004="Gasto")+(MOVIMIENTOS!$C$5:$C$10004="Compra"))*(MOVIMIENTOS!$P$5:$P$10004="Pendiente")),ROWS($A$5:A78))),"")</f>
        <v/>
      </c>
      <c r="C78">
        <f>IFERROR(INDEX(MOVIMIENTOS!$E$5:$E$10004,AGGREGATE(15,6,(ROW(MOVIMIENTOS!$P$5:$P$10004)-ROW(MOVIMIENTOS!$P$5)+1)/(((MOVIMIENTOS!$C$5:$C$10004="Gasto")+(MOVIMIENTOS!$C$5:$C$10004="Compra"))*(MOVIMIENTOS!$P$5:$P$10004="Pendiente")),ROWS($A$5:A78))),"")</f>
        <v/>
      </c>
      <c r="D78">
        <f>IFERROR(INDEX(MOVIMIENTOS!$D$5:$D$10004,AGGREGATE(15,6,(ROW(MOVIMIENTOS!$P$5:$P$10004)-ROW(MOVIMIENTOS!$P$5)+1)/(((MOVIMIENTOS!$C$5:$C$10004="Gasto")+(MOVIMIENTOS!$C$5:$C$10004="Compra"))*(MOVIMIENTOS!$P$5:$P$10004="Pendiente")),ROWS($A$5:A78))),"")</f>
        <v/>
      </c>
      <c r="E78">
        <f>IFERROR(INDEX(MOVIMIENTOS!$O$5:$O$10004,AGGREGATE(15,6,(ROW(MOVIMIENTOS!$P$5:$P$10004)-ROW(MOVIMIENTOS!$P$5)+1)/(((MOVIMIENTOS!$C$5:$C$10004="Gasto")+(MOVIMIENTOS!$C$5:$C$10004="Compra"))*(MOVIMIENTOS!$P$5:$P$10004="Pendiente")),ROWS($A$5:A78))),"")</f>
        <v/>
      </c>
      <c r="F78">
        <f>IF(A78="","",MAX(0,TODAY()-B78))</f>
        <v/>
      </c>
      <c r="G78">
        <f>IFERROR(INDEX(MOVIMIENTOS!$P$5:$P$10004,AGGREGATE(15,6,(ROW(MOVIMIENTOS!$P$5:$P$10004)-ROW(MOVIMIENTOS!$P$5)+1)/(((MOVIMIENTOS!$C$5:$C$10004="Gasto")+(MOVIMIENTOS!$C$5:$C$10004="Compra"))*(MOVIMIENTOS!$P$5:$P$10004="Pendiente")),ROWS($A$5:A78))),"")</f>
        <v/>
      </c>
    </row>
    <row r="79">
      <c r="A79">
        <f>IFERROR(INDEX(MOVIMIENTOS!$A$5:$A$10004,AGGREGATE(15,6,(ROW(MOVIMIENTOS!$P$5:$P$10004)-ROW(MOVIMIENTOS!$P$5)+1)/(((MOVIMIENTOS!$C$5:$C$10004="Gasto")+(MOVIMIENTOS!$C$5:$C$10004="Compra"))*(MOVIMIENTOS!$P$5:$P$10004="Pendiente")),ROWS($A$5:A79))),"")</f>
        <v/>
      </c>
      <c r="B79">
        <f>IFERROR(INDEX(MOVIMIENTOS!$B$5:$B$10004,AGGREGATE(15,6,(ROW(MOVIMIENTOS!$P$5:$P$10004)-ROW(MOVIMIENTOS!$P$5)+1)/(((MOVIMIENTOS!$C$5:$C$10004="Gasto")+(MOVIMIENTOS!$C$5:$C$10004="Compra"))*(MOVIMIENTOS!$P$5:$P$10004="Pendiente")),ROWS($A$5:A79))),"")</f>
        <v/>
      </c>
      <c r="C79">
        <f>IFERROR(INDEX(MOVIMIENTOS!$E$5:$E$10004,AGGREGATE(15,6,(ROW(MOVIMIENTOS!$P$5:$P$10004)-ROW(MOVIMIENTOS!$P$5)+1)/(((MOVIMIENTOS!$C$5:$C$10004="Gasto")+(MOVIMIENTOS!$C$5:$C$10004="Compra"))*(MOVIMIENTOS!$P$5:$P$10004="Pendiente")),ROWS($A$5:A79))),"")</f>
        <v/>
      </c>
      <c r="D79">
        <f>IFERROR(INDEX(MOVIMIENTOS!$D$5:$D$10004,AGGREGATE(15,6,(ROW(MOVIMIENTOS!$P$5:$P$10004)-ROW(MOVIMIENTOS!$P$5)+1)/(((MOVIMIENTOS!$C$5:$C$10004="Gasto")+(MOVIMIENTOS!$C$5:$C$10004="Compra"))*(MOVIMIENTOS!$P$5:$P$10004="Pendiente")),ROWS($A$5:A79))),"")</f>
        <v/>
      </c>
      <c r="E79">
        <f>IFERROR(INDEX(MOVIMIENTOS!$O$5:$O$10004,AGGREGATE(15,6,(ROW(MOVIMIENTOS!$P$5:$P$10004)-ROW(MOVIMIENTOS!$P$5)+1)/(((MOVIMIENTOS!$C$5:$C$10004="Gasto")+(MOVIMIENTOS!$C$5:$C$10004="Compra"))*(MOVIMIENTOS!$P$5:$P$10004="Pendiente")),ROWS($A$5:A79))),"")</f>
        <v/>
      </c>
      <c r="F79">
        <f>IF(A79="","",MAX(0,TODAY()-B79))</f>
        <v/>
      </c>
      <c r="G79">
        <f>IFERROR(INDEX(MOVIMIENTOS!$P$5:$P$10004,AGGREGATE(15,6,(ROW(MOVIMIENTOS!$P$5:$P$10004)-ROW(MOVIMIENTOS!$P$5)+1)/(((MOVIMIENTOS!$C$5:$C$10004="Gasto")+(MOVIMIENTOS!$C$5:$C$10004="Compra"))*(MOVIMIENTOS!$P$5:$P$10004="Pendiente")),ROWS($A$5:A79))),"")</f>
        <v/>
      </c>
    </row>
    <row r="80">
      <c r="A80">
        <f>IFERROR(INDEX(MOVIMIENTOS!$A$5:$A$10004,AGGREGATE(15,6,(ROW(MOVIMIENTOS!$P$5:$P$10004)-ROW(MOVIMIENTOS!$P$5)+1)/(((MOVIMIENTOS!$C$5:$C$10004="Gasto")+(MOVIMIENTOS!$C$5:$C$10004="Compra"))*(MOVIMIENTOS!$P$5:$P$10004="Pendiente")),ROWS($A$5:A80))),"")</f>
        <v/>
      </c>
      <c r="B80">
        <f>IFERROR(INDEX(MOVIMIENTOS!$B$5:$B$10004,AGGREGATE(15,6,(ROW(MOVIMIENTOS!$P$5:$P$10004)-ROW(MOVIMIENTOS!$P$5)+1)/(((MOVIMIENTOS!$C$5:$C$10004="Gasto")+(MOVIMIENTOS!$C$5:$C$10004="Compra"))*(MOVIMIENTOS!$P$5:$P$10004="Pendiente")),ROWS($A$5:A80))),"")</f>
        <v/>
      </c>
      <c r="C80">
        <f>IFERROR(INDEX(MOVIMIENTOS!$E$5:$E$10004,AGGREGATE(15,6,(ROW(MOVIMIENTOS!$P$5:$P$10004)-ROW(MOVIMIENTOS!$P$5)+1)/(((MOVIMIENTOS!$C$5:$C$10004="Gasto")+(MOVIMIENTOS!$C$5:$C$10004="Compra"))*(MOVIMIENTOS!$P$5:$P$10004="Pendiente")),ROWS($A$5:A80))),"")</f>
        <v/>
      </c>
      <c r="D80">
        <f>IFERROR(INDEX(MOVIMIENTOS!$D$5:$D$10004,AGGREGATE(15,6,(ROW(MOVIMIENTOS!$P$5:$P$10004)-ROW(MOVIMIENTOS!$P$5)+1)/(((MOVIMIENTOS!$C$5:$C$10004="Gasto")+(MOVIMIENTOS!$C$5:$C$10004="Compra"))*(MOVIMIENTOS!$P$5:$P$10004="Pendiente")),ROWS($A$5:A80))),"")</f>
        <v/>
      </c>
      <c r="E80">
        <f>IFERROR(INDEX(MOVIMIENTOS!$O$5:$O$10004,AGGREGATE(15,6,(ROW(MOVIMIENTOS!$P$5:$P$10004)-ROW(MOVIMIENTOS!$P$5)+1)/(((MOVIMIENTOS!$C$5:$C$10004="Gasto")+(MOVIMIENTOS!$C$5:$C$10004="Compra"))*(MOVIMIENTOS!$P$5:$P$10004="Pendiente")),ROWS($A$5:A80))),"")</f>
        <v/>
      </c>
      <c r="F80">
        <f>IF(A80="","",MAX(0,TODAY()-B80))</f>
        <v/>
      </c>
      <c r="G80">
        <f>IFERROR(INDEX(MOVIMIENTOS!$P$5:$P$10004,AGGREGATE(15,6,(ROW(MOVIMIENTOS!$P$5:$P$10004)-ROW(MOVIMIENTOS!$P$5)+1)/(((MOVIMIENTOS!$C$5:$C$10004="Gasto")+(MOVIMIENTOS!$C$5:$C$10004="Compra"))*(MOVIMIENTOS!$P$5:$P$10004="Pendiente")),ROWS($A$5:A80))),"")</f>
        <v/>
      </c>
    </row>
    <row r="81">
      <c r="A81">
        <f>IFERROR(INDEX(MOVIMIENTOS!$A$5:$A$10004,AGGREGATE(15,6,(ROW(MOVIMIENTOS!$P$5:$P$10004)-ROW(MOVIMIENTOS!$P$5)+1)/(((MOVIMIENTOS!$C$5:$C$10004="Gasto")+(MOVIMIENTOS!$C$5:$C$10004="Compra"))*(MOVIMIENTOS!$P$5:$P$10004="Pendiente")),ROWS($A$5:A81))),"")</f>
        <v/>
      </c>
      <c r="B81">
        <f>IFERROR(INDEX(MOVIMIENTOS!$B$5:$B$10004,AGGREGATE(15,6,(ROW(MOVIMIENTOS!$P$5:$P$10004)-ROW(MOVIMIENTOS!$P$5)+1)/(((MOVIMIENTOS!$C$5:$C$10004="Gasto")+(MOVIMIENTOS!$C$5:$C$10004="Compra"))*(MOVIMIENTOS!$P$5:$P$10004="Pendiente")),ROWS($A$5:A81))),"")</f>
        <v/>
      </c>
      <c r="C81">
        <f>IFERROR(INDEX(MOVIMIENTOS!$E$5:$E$10004,AGGREGATE(15,6,(ROW(MOVIMIENTOS!$P$5:$P$10004)-ROW(MOVIMIENTOS!$P$5)+1)/(((MOVIMIENTOS!$C$5:$C$10004="Gasto")+(MOVIMIENTOS!$C$5:$C$10004="Compra"))*(MOVIMIENTOS!$P$5:$P$10004="Pendiente")),ROWS($A$5:A81))),"")</f>
        <v/>
      </c>
      <c r="D81">
        <f>IFERROR(INDEX(MOVIMIENTOS!$D$5:$D$10004,AGGREGATE(15,6,(ROW(MOVIMIENTOS!$P$5:$P$10004)-ROW(MOVIMIENTOS!$P$5)+1)/(((MOVIMIENTOS!$C$5:$C$10004="Gasto")+(MOVIMIENTOS!$C$5:$C$10004="Compra"))*(MOVIMIENTOS!$P$5:$P$10004="Pendiente")),ROWS($A$5:A81))),"")</f>
        <v/>
      </c>
      <c r="E81">
        <f>IFERROR(INDEX(MOVIMIENTOS!$O$5:$O$10004,AGGREGATE(15,6,(ROW(MOVIMIENTOS!$P$5:$P$10004)-ROW(MOVIMIENTOS!$P$5)+1)/(((MOVIMIENTOS!$C$5:$C$10004="Gasto")+(MOVIMIENTOS!$C$5:$C$10004="Compra"))*(MOVIMIENTOS!$P$5:$P$10004="Pendiente")),ROWS($A$5:A81))),"")</f>
        <v/>
      </c>
      <c r="F81">
        <f>IF(A81="","",MAX(0,TODAY()-B81))</f>
        <v/>
      </c>
      <c r="G81">
        <f>IFERROR(INDEX(MOVIMIENTOS!$P$5:$P$10004,AGGREGATE(15,6,(ROW(MOVIMIENTOS!$P$5:$P$10004)-ROW(MOVIMIENTOS!$P$5)+1)/(((MOVIMIENTOS!$C$5:$C$10004="Gasto")+(MOVIMIENTOS!$C$5:$C$10004="Compra"))*(MOVIMIENTOS!$P$5:$P$10004="Pendiente")),ROWS($A$5:A81))),"")</f>
        <v/>
      </c>
    </row>
    <row r="82">
      <c r="A82">
        <f>IFERROR(INDEX(MOVIMIENTOS!$A$5:$A$10004,AGGREGATE(15,6,(ROW(MOVIMIENTOS!$P$5:$P$10004)-ROW(MOVIMIENTOS!$P$5)+1)/(((MOVIMIENTOS!$C$5:$C$10004="Gasto")+(MOVIMIENTOS!$C$5:$C$10004="Compra"))*(MOVIMIENTOS!$P$5:$P$10004="Pendiente")),ROWS($A$5:A82))),"")</f>
        <v/>
      </c>
      <c r="B82">
        <f>IFERROR(INDEX(MOVIMIENTOS!$B$5:$B$10004,AGGREGATE(15,6,(ROW(MOVIMIENTOS!$P$5:$P$10004)-ROW(MOVIMIENTOS!$P$5)+1)/(((MOVIMIENTOS!$C$5:$C$10004="Gasto")+(MOVIMIENTOS!$C$5:$C$10004="Compra"))*(MOVIMIENTOS!$P$5:$P$10004="Pendiente")),ROWS($A$5:A82))),"")</f>
        <v/>
      </c>
      <c r="C82">
        <f>IFERROR(INDEX(MOVIMIENTOS!$E$5:$E$10004,AGGREGATE(15,6,(ROW(MOVIMIENTOS!$P$5:$P$10004)-ROW(MOVIMIENTOS!$P$5)+1)/(((MOVIMIENTOS!$C$5:$C$10004="Gasto")+(MOVIMIENTOS!$C$5:$C$10004="Compra"))*(MOVIMIENTOS!$P$5:$P$10004="Pendiente")),ROWS($A$5:A82))),"")</f>
        <v/>
      </c>
      <c r="D82">
        <f>IFERROR(INDEX(MOVIMIENTOS!$D$5:$D$10004,AGGREGATE(15,6,(ROW(MOVIMIENTOS!$P$5:$P$10004)-ROW(MOVIMIENTOS!$P$5)+1)/(((MOVIMIENTOS!$C$5:$C$10004="Gasto")+(MOVIMIENTOS!$C$5:$C$10004="Compra"))*(MOVIMIENTOS!$P$5:$P$10004="Pendiente")),ROWS($A$5:A82))),"")</f>
        <v/>
      </c>
      <c r="E82">
        <f>IFERROR(INDEX(MOVIMIENTOS!$O$5:$O$10004,AGGREGATE(15,6,(ROW(MOVIMIENTOS!$P$5:$P$10004)-ROW(MOVIMIENTOS!$P$5)+1)/(((MOVIMIENTOS!$C$5:$C$10004="Gasto")+(MOVIMIENTOS!$C$5:$C$10004="Compra"))*(MOVIMIENTOS!$P$5:$P$10004="Pendiente")),ROWS($A$5:A82))),"")</f>
        <v/>
      </c>
      <c r="F82">
        <f>IF(A82="","",MAX(0,TODAY()-B82))</f>
        <v/>
      </c>
      <c r="G82">
        <f>IFERROR(INDEX(MOVIMIENTOS!$P$5:$P$10004,AGGREGATE(15,6,(ROW(MOVIMIENTOS!$P$5:$P$10004)-ROW(MOVIMIENTOS!$P$5)+1)/(((MOVIMIENTOS!$C$5:$C$10004="Gasto")+(MOVIMIENTOS!$C$5:$C$10004="Compra"))*(MOVIMIENTOS!$P$5:$P$10004="Pendiente")),ROWS($A$5:A82))),"")</f>
        <v/>
      </c>
    </row>
    <row r="83">
      <c r="A83">
        <f>IFERROR(INDEX(MOVIMIENTOS!$A$5:$A$10004,AGGREGATE(15,6,(ROW(MOVIMIENTOS!$P$5:$P$10004)-ROW(MOVIMIENTOS!$P$5)+1)/(((MOVIMIENTOS!$C$5:$C$10004="Gasto")+(MOVIMIENTOS!$C$5:$C$10004="Compra"))*(MOVIMIENTOS!$P$5:$P$10004="Pendiente")),ROWS($A$5:A83))),"")</f>
        <v/>
      </c>
      <c r="B83">
        <f>IFERROR(INDEX(MOVIMIENTOS!$B$5:$B$10004,AGGREGATE(15,6,(ROW(MOVIMIENTOS!$P$5:$P$10004)-ROW(MOVIMIENTOS!$P$5)+1)/(((MOVIMIENTOS!$C$5:$C$10004="Gasto")+(MOVIMIENTOS!$C$5:$C$10004="Compra"))*(MOVIMIENTOS!$P$5:$P$10004="Pendiente")),ROWS($A$5:A83))),"")</f>
        <v/>
      </c>
      <c r="C83">
        <f>IFERROR(INDEX(MOVIMIENTOS!$E$5:$E$10004,AGGREGATE(15,6,(ROW(MOVIMIENTOS!$P$5:$P$10004)-ROW(MOVIMIENTOS!$P$5)+1)/(((MOVIMIENTOS!$C$5:$C$10004="Gasto")+(MOVIMIENTOS!$C$5:$C$10004="Compra"))*(MOVIMIENTOS!$P$5:$P$10004="Pendiente")),ROWS($A$5:A83))),"")</f>
        <v/>
      </c>
      <c r="D83">
        <f>IFERROR(INDEX(MOVIMIENTOS!$D$5:$D$10004,AGGREGATE(15,6,(ROW(MOVIMIENTOS!$P$5:$P$10004)-ROW(MOVIMIENTOS!$P$5)+1)/(((MOVIMIENTOS!$C$5:$C$10004="Gasto")+(MOVIMIENTOS!$C$5:$C$10004="Compra"))*(MOVIMIENTOS!$P$5:$P$10004="Pendiente")),ROWS($A$5:A83))),"")</f>
        <v/>
      </c>
      <c r="E83">
        <f>IFERROR(INDEX(MOVIMIENTOS!$O$5:$O$10004,AGGREGATE(15,6,(ROW(MOVIMIENTOS!$P$5:$P$10004)-ROW(MOVIMIENTOS!$P$5)+1)/(((MOVIMIENTOS!$C$5:$C$10004="Gasto")+(MOVIMIENTOS!$C$5:$C$10004="Compra"))*(MOVIMIENTOS!$P$5:$P$10004="Pendiente")),ROWS($A$5:A83))),"")</f>
        <v/>
      </c>
      <c r="F83">
        <f>IF(A83="","",MAX(0,TODAY()-B83))</f>
        <v/>
      </c>
      <c r="G83">
        <f>IFERROR(INDEX(MOVIMIENTOS!$P$5:$P$10004,AGGREGATE(15,6,(ROW(MOVIMIENTOS!$P$5:$P$10004)-ROW(MOVIMIENTOS!$P$5)+1)/(((MOVIMIENTOS!$C$5:$C$10004="Gasto")+(MOVIMIENTOS!$C$5:$C$10004="Compra"))*(MOVIMIENTOS!$P$5:$P$10004="Pendiente")),ROWS($A$5:A83))),"")</f>
        <v/>
      </c>
    </row>
    <row r="84">
      <c r="A84">
        <f>IFERROR(INDEX(MOVIMIENTOS!$A$5:$A$10004,AGGREGATE(15,6,(ROW(MOVIMIENTOS!$P$5:$P$10004)-ROW(MOVIMIENTOS!$P$5)+1)/(((MOVIMIENTOS!$C$5:$C$10004="Gasto")+(MOVIMIENTOS!$C$5:$C$10004="Compra"))*(MOVIMIENTOS!$P$5:$P$10004="Pendiente")),ROWS($A$5:A84))),"")</f>
        <v/>
      </c>
      <c r="B84">
        <f>IFERROR(INDEX(MOVIMIENTOS!$B$5:$B$10004,AGGREGATE(15,6,(ROW(MOVIMIENTOS!$P$5:$P$10004)-ROW(MOVIMIENTOS!$P$5)+1)/(((MOVIMIENTOS!$C$5:$C$10004="Gasto")+(MOVIMIENTOS!$C$5:$C$10004="Compra"))*(MOVIMIENTOS!$P$5:$P$10004="Pendiente")),ROWS($A$5:A84))),"")</f>
        <v/>
      </c>
      <c r="C84">
        <f>IFERROR(INDEX(MOVIMIENTOS!$E$5:$E$10004,AGGREGATE(15,6,(ROW(MOVIMIENTOS!$P$5:$P$10004)-ROW(MOVIMIENTOS!$P$5)+1)/(((MOVIMIENTOS!$C$5:$C$10004="Gasto")+(MOVIMIENTOS!$C$5:$C$10004="Compra"))*(MOVIMIENTOS!$P$5:$P$10004="Pendiente")),ROWS($A$5:A84))),"")</f>
        <v/>
      </c>
      <c r="D84">
        <f>IFERROR(INDEX(MOVIMIENTOS!$D$5:$D$10004,AGGREGATE(15,6,(ROW(MOVIMIENTOS!$P$5:$P$10004)-ROW(MOVIMIENTOS!$P$5)+1)/(((MOVIMIENTOS!$C$5:$C$10004="Gasto")+(MOVIMIENTOS!$C$5:$C$10004="Compra"))*(MOVIMIENTOS!$P$5:$P$10004="Pendiente")),ROWS($A$5:A84))),"")</f>
        <v/>
      </c>
      <c r="E84">
        <f>IFERROR(INDEX(MOVIMIENTOS!$O$5:$O$10004,AGGREGATE(15,6,(ROW(MOVIMIENTOS!$P$5:$P$10004)-ROW(MOVIMIENTOS!$P$5)+1)/(((MOVIMIENTOS!$C$5:$C$10004="Gasto")+(MOVIMIENTOS!$C$5:$C$10004="Compra"))*(MOVIMIENTOS!$P$5:$P$10004="Pendiente")),ROWS($A$5:A84))),"")</f>
        <v/>
      </c>
      <c r="F84">
        <f>IF(A84="","",MAX(0,TODAY()-B84))</f>
        <v/>
      </c>
      <c r="G84">
        <f>IFERROR(INDEX(MOVIMIENTOS!$P$5:$P$10004,AGGREGATE(15,6,(ROW(MOVIMIENTOS!$P$5:$P$10004)-ROW(MOVIMIENTOS!$P$5)+1)/(((MOVIMIENTOS!$C$5:$C$10004="Gasto")+(MOVIMIENTOS!$C$5:$C$10004="Compra"))*(MOVIMIENTOS!$P$5:$P$10004="Pendiente")),ROWS($A$5:A84))),"")</f>
        <v/>
      </c>
    </row>
    <row r="85">
      <c r="A85">
        <f>IFERROR(INDEX(MOVIMIENTOS!$A$5:$A$10004,AGGREGATE(15,6,(ROW(MOVIMIENTOS!$P$5:$P$10004)-ROW(MOVIMIENTOS!$P$5)+1)/(((MOVIMIENTOS!$C$5:$C$10004="Gasto")+(MOVIMIENTOS!$C$5:$C$10004="Compra"))*(MOVIMIENTOS!$P$5:$P$10004="Pendiente")),ROWS($A$5:A85))),"")</f>
        <v/>
      </c>
      <c r="B85">
        <f>IFERROR(INDEX(MOVIMIENTOS!$B$5:$B$10004,AGGREGATE(15,6,(ROW(MOVIMIENTOS!$P$5:$P$10004)-ROW(MOVIMIENTOS!$P$5)+1)/(((MOVIMIENTOS!$C$5:$C$10004="Gasto")+(MOVIMIENTOS!$C$5:$C$10004="Compra"))*(MOVIMIENTOS!$P$5:$P$10004="Pendiente")),ROWS($A$5:A85))),"")</f>
        <v/>
      </c>
      <c r="C85">
        <f>IFERROR(INDEX(MOVIMIENTOS!$E$5:$E$10004,AGGREGATE(15,6,(ROW(MOVIMIENTOS!$P$5:$P$10004)-ROW(MOVIMIENTOS!$P$5)+1)/(((MOVIMIENTOS!$C$5:$C$10004="Gasto")+(MOVIMIENTOS!$C$5:$C$10004="Compra"))*(MOVIMIENTOS!$P$5:$P$10004="Pendiente")),ROWS($A$5:A85))),"")</f>
        <v/>
      </c>
      <c r="D85">
        <f>IFERROR(INDEX(MOVIMIENTOS!$D$5:$D$10004,AGGREGATE(15,6,(ROW(MOVIMIENTOS!$P$5:$P$10004)-ROW(MOVIMIENTOS!$P$5)+1)/(((MOVIMIENTOS!$C$5:$C$10004="Gasto")+(MOVIMIENTOS!$C$5:$C$10004="Compra"))*(MOVIMIENTOS!$P$5:$P$10004="Pendiente")),ROWS($A$5:A85))),"")</f>
        <v/>
      </c>
      <c r="E85">
        <f>IFERROR(INDEX(MOVIMIENTOS!$O$5:$O$10004,AGGREGATE(15,6,(ROW(MOVIMIENTOS!$P$5:$P$10004)-ROW(MOVIMIENTOS!$P$5)+1)/(((MOVIMIENTOS!$C$5:$C$10004="Gasto")+(MOVIMIENTOS!$C$5:$C$10004="Compra"))*(MOVIMIENTOS!$P$5:$P$10004="Pendiente")),ROWS($A$5:A85))),"")</f>
        <v/>
      </c>
      <c r="F85">
        <f>IF(A85="","",MAX(0,TODAY()-B85))</f>
        <v/>
      </c>
      <c r="G85">
        <f>IFERROR(INDEX(MOVIMIENTOS!$P$5:$P$10004,AGGREGATE(15,6,(ROW(MOVIMIENTOS!$P$5:$P$10004)-ROW(MOVIMIENTOS!$P$5)+1)/(((MOVIMIENTOS!$C$5:$C$10004="Gasto")+(MOVIMIENTOS!$C$5:$C$10004="Compra"))*(MOVIMIENTOS!$P$5:$P$10004="Pendiente")),ROWS($A$5:A85))),"")</f>
        <v/>
      </c>
    </row>
    <row r="86">
      <c r="A86">
        <f>IFERROR(INDEX(MOVIMIENTOS!$A$5:$A$10004,AGGREGATE(15,6,(ROW(MOVIMIENTOS!$P$5:$P$10004)-ROW(MOVIMIENTOS!$P$5)+1)/(((MOVIMIENTOS!$C$5:$C$10004="Gasto")+(MOVIMIENTOS!$C$5:$C$10004="Compra"))*(MOVIMIENTOS!$P$5:$P$10004="Pendiente")),ROWS($A$5:A86))),"")</f>
        <v/>
      </c>
      <c r="B86">
        <f>IFERROR(INDEX(MOVIMIENTOS!$B$5:$B$10004,AGGREGATE(15,6,(ROW(MOVIMIENTOS!$P$5:$P$10004)-ROW(MOVIMIENTOS!$P$5)+1)/(((MOVIMIENTOS!$C$5:$C$10004="Gasto")+(MOVIMIENTOS!$C$5:$C$10004="Compra"))*(MOVIMIENTOS!$P$5:$P$10004="Pendiente")),ROWS($A$5:A86))),"")</f>
        <v/>
      </c>
      <c r="C86">
        <f>IFERROR(INDEX(MOVIMIENTOS!$E$5:$E$10004,AGGREGATE(15,6,(ROW(MOVIMIENTOS!$P$5:$P$10004)-ROW(MOVIMIENTOS!$P$5)+1)/(((MOVIMIENTOS!$C$5:$C$10004="Gasto")+(MOVIMIENTOS!$C$5:$C$10004="Compra"))*(MOVIMIENTOS!$P$5:$P$10004="Pendiente")),ROWS($A$5:A86))),"")</f>
        <v/>
      </c>
      <c r="D86">
        <f>IFERROR(INDEX(MOVIMIENTOS!$D$5:$D$10004,AGGREGATE(15,6,(ROW(MOVIMIENTOS!$P$5:$P$10004)-ROW(MOVIMIENTOS!$P$5)+1)/(((MOVIMIENTOS!$C$5:$C$10004="Gasto")+(MOVIMIENTOS!$C$5:$C$10004="Compra"))*(MOVIMIENTOS!$P$5:$P$10004="Pendiente")),ROWS($A$5:A86))),"")</f>
        <v/>
      </c>
      <c r="E86">
        <f>IFERROR(INDEX(MOVIMIENTOS!$O$5:$O$10004,AGGREGATE(15,6,(ROW(MOVIMIENTOS!$P$5:$P$10004)-ROW(MOVIMIENTOS!$P$5)+1)/(((MOVIMIENTOS!$C$5:$C$10004="Gasto")+(MOVIMIENTOS!$C$5:$C$10004="Compra"))*(MOVIMIENTOS!$P$5:$P$10004="Pendiente")),ROWS($A$5:A86))),"")</f>
        <v/>
      </c>
      <c r="F86">
        <f>IF(A86="","",MAX(0,TODAY()-B86))</f>
        <v/>
      </c>
      <c r="G86">
        <f>IFERROR(INDEX(MOVIMIENTOS!$P$5:$P$10004,AGGREGATE(15,6,(ROW(MOVIMIENTOS!$P$5:$P$10004)-ROW(MOVIMIENTOS!$P$5)+1)/(((MOVIMIENTOS!$C$5:$C$10004="Gasto")+(MOVIMIENTOS!$C$5:$C$10004="Compra"))*(MOVIMIENTOS!$P$5:$P$10004="Pendiente")),ROWS($A$5:A86))),"")</f>
        <v/>
      </c>
    </row>
    <row r="87">
      <c r="A87">
        <f>IFERROR(INDEX(MOVIMIENTOS!$A$5:$A$10004,AGGREGATE(15,6,(ROW(MOVIMIENTOS!$P$5:$P$10004)-ROW(MOVIMIENTOS!$P$5)+1)/(((MOVIMIENTOS!$C$5:$C$10004="Gasto")+(MOVIMIENTOS!$C$5:$C$10004="Compra"))*(MOVIMIENTOS!$P$5:$P$10004="Pendiente")),ROWS($A$5:A87))),"")</f>
        <v/>
      </c>
      <c r="B87">
        <f>IFERROR(INDEX(MOVIMIENTOS!$B$5:$B$10004,AGGREGATE(15,6,(ROW(MOVIMIENTOS!$P$5:$P$10004)-ROW(MOVIMIENTOS!$P$5)+1)/(((MOVIMIENTOS!$C$5:$C$10004="Gasto")+(MOVIMIENTOS!$C$5:$C$10004="Compra"))*(MOVIMIENTOS!$P$5:$P$10004="Pendiente")),ROWS($A$5:A87))),"")</f>
        <v/>
      </c>
      <c r="C87">
        <f>IFERROR(INDEX(MOVIMIENTOS!$E$5:$E$10004,AGGREGATE(15,6,(ROW(MOVIMIENTOS!$P$5:$P$10004)-ROW(MOVIMIENTOS!$P$5)+1)/(((MOVIMIENTOS!$C$5:$C$10004="Gasto")+(MOVIMIENTOS!$C$5:$C$10004="Compra"))*(MOVIMIENTOS!$P$5:$P$10004="Pendiente")),ROWS($A$5:A87))),"")</f>
        <v/>
      </c>
      <c r="D87">
        <f>IFERROR(INDEX(MOVIMIENTOS!$D$5:$D$10004,AGGREGATE(15,6,(ROW(MOVIMIENTOS!$P$5:$P$10004)-ROW(MOVIMIENTOS!$P$5)+1)/(((MOVIMIENTOS!$C$5:$C$10004="Gasto")+(MOVIMIENTOS!$C$5:$C$10004="Compra"))*(MOVIMIENTOS!$P$5:$P$10004="Pendiente")),ROWS($A$5:A87))),"")</f>
        <v/>
      </c>
      <c r="E87">
        <f>IFERROR(INDEX(MOVIMIENTOS!$O$5:$O$10004,AGGREGATE(15,6,(ROW(MOVIMIENTOS!$P$5:$P$10004)-ROW(MOVIMIENTOS!$P$5)+1)/(((MOVIMIENTOS!$C$5:$C$10004="Gasto")+(MOVIMIENTOS!$C$5:$C$10004="Compra"))*(MOVIMIENTOS!$P$5:$P$10004="Pendiente")),ROWS($A$5:A87))),"")</f>
        <v/>
      </c>
      <c r="F87">
        <f>IF(A87="","",MAX(0,TODAY()-B87))</f>
        <v/>
      </c>
      <c r="G87">
        <f>IFERROR(INDEX(MOVIMIENTOS!$P$5:$P$10004,AGGREGATE(15,6,(ROW(MOVIMIENTOS!$P$5:$P$10004)-ROW(MOVIMIENTOS!$P$5)+1)/(((MOVIMIENTOS!$C$5:$C$10004="Gasto")+(MOVIMIENTOS!$C$5:$C$10004="Compra"))*(MOVIMIENTOS!$P$5:$P$10004="Pendiente")),ROWS($A$5:A87))),"")</f>
        <v/>
      </c>
    </row>
    <row r="88">
      <c r="A88">
        <f>IFERROR(INDEX(MOVIMIENTOS!$A$5:$A$10004,AGGREGATE(15,6,(ROW(MOVIMIENTOS!$P$5:$P$10004)-ROW(MOVIMIENTOS!$P$5)+1)/(((MOVIMIENTOS!$C$5:$C$10004="Gasto")+(MOVIMIENTOS!$C$5:$C$10004="Compra"))*(MOVIMIENTOS!$P$5:$P$10004="Pendiente")),ROWS($A$5:A88))),"")</f>
        <v/>
      </c>
      <c r="B88">
        <f>IFERROR(INDEX(MOVIMIENTOS!$B$5:$B$10004,AGGREGATE(15,6,(ROW(MOVIMIENTOS!$P$5:$P$10004)-ROW(MOVIMIENTOS!$P$5)+1)/(((MOVIMIENTOS!$C$5:$C$10004="Gasto")+(MOVIMIENTOS!$C$5:$C$10004="Compra"))*(MOVIMIENTOS!$P$5:$P$10004="Pendiente")),ROWS($A$5:A88))),"")</f>
        <v/>
      </c>
      <c r="C88">
        <f>IFERROR(INDEX(MOVIMIENTOS!$E$5:$E$10004,AGGREGATE(15,6,(ROW(MOVIMIENTOS!$P$5:$P$10004)-ROW(MOVIMIENTOS!$P$5)+1)/(((MOVIMIENTOS!$C$5:$C$10004="Gasto")+(MOVIMIENTOS!$C$5:$C$10004="Compra"))*(MOVIMIENTOS!$P$5:$P$10004="Pendiente")),ROWS($A$5:A88))),"")</f>
        <v/>
      </c>
      <c r="D88">
        <f>IFERROR(INDEX(MOVIMIENTOS!$D$5:$D$10004,AGGREGATE(15,6,(ROW(MOVIMIENTOS!$P$5:$P$10004)-ROW(MOVIMIENTOS!$P$5)+1)/(((MOVIMIENTOS!$C$5:$C$10004="Gasto")+(MOVIMIENTOS!$C$5:$C$10004="Compra"))*(MOVIMIENTOS!$P$5:$P$10004="Pendiente")),ROWS($A$5:A88))),"")</f>
        <v/>
      </c>
      <c r="E88">
        <f>IFERROR(INDEX(MOVIMIENTOS!$O$5:$O$10004,AGGREGATE(15,6,(ROW(MOVIMIENTOS!$P$5:$P$10004)-ROW(MOVIMIENTOS!$P$5)+1)/(((MOVIMIENTOS!$C$5:$C$10004="Gasto")+(MOVIMIENTOS!$C$5:$C$10004="Compra"))*(MOVIMIENTOS!$P$5:$P$10004="Pendiente")),ROWS($A$5:A88))),"")</f>
        <v/>
      </c>
      <c r="F88">
        <f>IF(A88="","",MAX(0,TODAY()-B88))</f>
        <v/>
      </c>
      <c r="G88">
        <f>IFERROR(INDEX(MOVIMIENTOS!$P$5:$P$10004,AGGREGATE(15,6,(ROW(MOVIMIENTOS!$P$5:$P$10004)-ROW(MOVIMIENTOS!$P$5)+1)/(((MOVIMIENTOS!$C$5:$C$10004="Gasto")+(MOVIMIENTOS!$C$5:$C$10004="Compra"))*(MOVIMIENTOS!$P$5:$P$10004="Pendiente")),ROWS($A$5:A88))),"")</f>
        <v/>
      </c>
    </row>
    <row r="89">
      <c r="A89">
        <f>IFERROR(INDEX(MOVIMIENTOS!$A$5:$A$10004,AGGREGATE(15,6,(ROW(MOVIMIENTOS!$P$5:$P$10004)-ROW(MOVIMIENTOS!$P$5)+1)/(((MOVIMIENTOS!$C$5:$C$10004="Gasto")+(MOVIMIENTOS!$C$5:$C$10004="Compra"))*(MOVIMIENTOS!$P$5:$P$10004="Pendiente")),ROWS($A$5:A89))),"")</f>
        <v/>
      </c>
      <c r="B89">
        <f>IFERROR(INDEX(MOVIMIENTOS!$B$5:$B$10004,AGGREGATE(15,6,(ROW(MOVIMIENTOS!$P$5:$P$10004)-ROW(MOVIMIENTOS!$P$5)+1)/(((MOVIMIENTOS!$C$5:$C$10004="Gasto")+(MOVIMIENTOS!$C$5:$C$10004="Compra"))*(MOVIMIENTOS!$P$5:$P$10004="Pendiente")),ROWS($A$5:A89))),"")</f>
        <v/>
      </c>
      <c r="C89">
        <f>IFERROR(INDEX(MOVIMIENTOS!$E$5:$E$10004,AGGREGATE(15,6,(ROW(MOVIMIENTOS!$P$5:$P$10004)-ROW(MOVIMIENTOS!$P$5)+1)/(((MOVIMIENTOS!$C$5:$C$10004="Gasto")+(MOVIMIENTOS!$C$5:$C$10004="Compra"))*(MOVIMIENTOS!$P$5:$P$10004="Pendiente")),ROWS($A$5:A89))),"")</f>
        <v/>
      </c>
      <c r="D89">
        <f>IFERROR(INDEX(MOVIMIENTOS!$D$5:$D$10004,AGGREGATE(15,6,(ROW(MOVIMIENTOS!$P$5:$P$10004)-ROW(MOVIMIENTOS!$P$5)+1)/(((MOVIMIENTOS!$C$5:$C$10004="Gasto")+(MOVIMIENTOS!$C$5:$C$10004="Compra"))*(MOVIMIENTOS!$P$5:$P$10004="Pendiente")),ROWS($A$5:A89))),"")</f>
        <v/>
      </c>
      <c r="E89">
        <f>IFERROR(INDEX(MOVIMIENTOS!$O$5:$O$10004,AGGREGATE(15,6,(ROW(MOVIMIENTOS!$P$5:$P$10004)-ROW(MOVIMIENTOS!$P$5)+1)/(((MOVIMIENTOS!$C$5:$C$10004="Gasto")+(MOVIMIENTOS!$C$5:$C$10004="Compra"))*(MOVIMIENTOS!$P$5:$P$10004="Pendiente")),ROWS($A$5:A89))),"")</f>
        <v/>
      </c>
      <c r="F89">
        <f>IF(A89="","",MAX(0,TODAY()-B89))</f>
        <v/>
      </c>
      <c r="G89">
        <f>IFERROR(INDEX(MOVIMIENTOS!$P$5:$P$10004,AGGREGATE(15,6,(ROW(MOVIMIENTOS!$P$5:$P$10004)-ROW(MOVIMIENTOS!$P$5)+1)/(((MOVIMIENTOS!$C$5:$C$10004="Gasto")+(MOVIMIENTOS!$C$5:$C$10004="Compra"))*(MOVIMIENTOS!$P$5:$P$10004="Pendiente")),ROWS($A$5:A89))),"")</f>
        <v/>
      </c>
    </row>
    <row r="90">
      <c r="A90">
        <f>IFERROR(INDEX(MOVIMIENTOS!$A$5:$A$10004,AGGREGATE(15,6,(ROW(MOVIMIENTOS!$P$5:$P$10004)-ROW(MOVIMIENTOS!$P$5)+1)/(((MOVIMIENTOS!$C$5:$C$10004="Gasto")+(MOVIMIENTOS!$C$5:$C$10004="Compra"))*(MOVIMIENTOS!$P$5:$P$10004="Pendiente")),ROWS($A$5:A90))),"")</f>
        <v/>
      </c>
      <c r="B90">
        <f>IFERROR(INDEX(MOVIMIENTOS!$B$5:$B$10004,AGGREGATE(15,6,(ROW(MOVIMIENTOS!$P$5:$P$10004)-ROW(MOVIMIENTOS!$P$5)+1)/(((MOVIMIENTOS!$C$5:$C$10004="Gasto")+(MOVIMIENTOS!$C$5:$C$10004="Compra"))*(MOVIMIENTOS!$P$5:$P$10004="Pendiente")),ROWS($A$5:A90))),"")</f>
        <v/>
      </c>
      <c r="C90">
        <f>IFERROR(INDEX(MOVIMIENTOS!$E$5:$E$10004,AGGREGATE(15,6,(ROW(MOVIMIENTOS!$P$5:$P$10004)-ROW(MOVIMIENTOS!$P$5)+1)/(((MOVIMIENTOS!$C$5:$C$10004="Gasto")+(MOVIMIENTOS!$C$5:$C$10004="Compra"))*(MOVIMIENTOS!$P$5:$P$10004="Pendiente")),ROWS($A$5:A90))),"")</f>
        <v/>
      </c>
      <c r="D90">
        <f>IFERROR(INDEX(MOVIMIENTOS!$D$5:$D$10004,AGGREGATE(15,6,(ROW(MOVIMIENTOS!$P$5:$P$10004)-ROW(MOVIMIENTOS!$P$5)+1)/(((MOVIMIENTOS!$C$5:$C$10004="Gasto")+(MOVIMIENTOS!$C$5:$C$10004="Compra"))*(MOVIMIENTOS!$P$5:$P$10004="Pendiente")),ROWS($A$5:A90))),"")</f>
        <v/>
      </c>
      <c r="E90">
        <f>IFERROR(INDEX(MOVIMIENTOS!$O$5:$O$10004,AGGREGATE(15,6,(ROW(MOVIMIENTOS!$P$5:$P$10004)-ROW(MOVIMIENTOS!$P$5)+1)/(((MOVIMIENTOS!$C$5:$C$10004="Gasto")+(MOVIMIENTOS!$C$5:$C$10004="Compra"))*(MOVIMIENTOS!$P$5:$P$10004="Pendiente")),ROWS($A$5:A90))),"")</f>
        <v/>
      </c>
      <c r="F90">
        <f>IF(A90="","",MAX(0,TODAY()-B90))</f>
        <v/>
      </c>
      <c r="G90">
        <f>IFERROR(INDEX(MOVIMIENTOS!$P$5:$P$10004,AGGREGATE(15,6,(ROW(MOVIMIENTOS!$P$5:$P$10004)-ROW(MOVIMIENTOS!$P$5)+1)/(((MOVIMIENTOS!$C$5:$C$10004="Gasto")+(MOVIMIENTOS!$C$5:$C$10004="Compra"))*(MOVIMIENTOS!$P$5:$P$10004="Pendiente")),ROWS($A$5:A90))),"")</f>
        <v/>
      </c>
    </row>
    <row r="91">
      <c r="A91">
        <f>IFERROR(INDEX(MOVIMIENTOS!$A$5:$A$10004,AGGREGATE(15,6,(ROW(MOVIMIENTOS!$P$5:$P$10004)-ROW(MOVIMIENTOS!$P$5)+1)/(((MOVIMIENTOS!$C$5:$C$10004="Gasto")+(MOVIMIENTOS!$C$5:$C$10004="Compra"))*(MOVIMIENTOS!$P$5:$P$10004="Pendiente")),ROWS($A$5:A91))),"")</f>
        <v/>
      </c>
      <c r="B91">
        <f>IFERROR(INDEX(MOVIMIENTOS!$B$5:$B$10004,AGGREGATE(15,6,(ROW(MOVIMIENTOS!$P$5:$P$10004)-ROW(MOVIMIENTOS!$P$5)+1)/(((MOVIMIENTOS!$C$5:$C$10004="Gasto")+(MOVIMIENTOS!$C$5:$C$10004="Compra"))*(MOVIMIENTOS!$P$5:$P$10004="Pendiente")),ROWS($A$5:A91))),"")</f>
        <v/>
      </c>
      <c r="C91">
        <f>IFERROR(INDEX(MOVIMIENTOS!$E$5:$E$10004,AGGREGATE(15,6,(ROW(MOVIMIENTOS!$P$5:$P$10004)-ROW(MOVIMIENTOS!$P$5)+1)/(((MOVIMIENTOS!$C$5:$C$10004="Gasto")+(MOVIMIENTOS!$C$5:$C$10004="Compra"))*(MOVIMIENTOS!$P$5:$P$10004="Pendiente")),ROWS($A$5:A91))),"")</f>
        <v/>
      </c>
      <c r="D91">
        <f>IFERROR(INDEX(MOVIMIENTOS!$D$5:$D$10004,AGGREGATE(15,6,(ROW(MOVIMIENTOS!$P$5:$P$10004)-ROW(MOVIMIENTOS!$P$5)+1)/(((MOVIMIENTOS!$C$5:$C$10004="Gasto")+(MOVIMIENTOS!$C$5:$C$10004="Compra"))*(MOVIMIENTOS!$P$5:$P$10004="Pendiente")),ROWS($A$5:A91))),"")</f>
        <v/>
      </c>
      <c r="E91">
        <f>IFERROR(INDEX(MOVIMIENTOS!$O$5:$O$10004,AGGREGATE(15,6,(ROW(MOVIMIENTOS!$P$5:$P$10004)-ROW(MOVIMIENTOS!$P$5)+1)/(((MOVIMIENTOS!$C$5:$C$10004="Gasto")+(MOVIMIENTOS!$C$5:$C$10004="Compra"))*(MOVIMIENTOS!$P$5:$P$10004="Pendiente")),ROWS($A$5:A91))),"")</f>
        <v/>
      </c>
      <c r="F91">
        <f>IF(A91="","",MAX(0,TODAY()-B91))</f>
        <v/>
      </c>
      <c r="G91">
        <f>IFERROR(INDEX(MOVIMIENTOS!$P$5:$P$10004,AGGREGATE(15,6,(ROW(MOVIMIENTOS!$P$5:$P$10004)-ROW(MOVIMIENTOS!$P$5)+1)/(((MOVIMIENTOS!$C$5:$C$10004="Gasto")+(MOVIMIENTOS!$C$5:$C$10004="Compra"))*(MOVIMIENTOS!$P$5:$P$10004="Pendiente")),ROWS($A$5:A91))),"")</f>
        <v/>
      </c>
    </row>
    <row r="92">
      <c r="A92">
        <f>IFERROR(INDEX(MOVIMIENTOS!$A$5:$A$10004,AGGREGATE(15,6,(ROW(MOVIMIENTOS!$P$5:$P$10004)-ROW(MOVIMIENTOS!$P$5)+1)/(((MOVIMIENTOS!$C$5:$C$10004="Gasto")+(MOVIMIENTOS!$C$5:$C$10004="Compra"))*(MOVIMIENTOS!$P$5:$P$10004="Pendiente")),ROWS($A$5:A92))),"")</f>
        <v/>
      </c>
      <c r="B92">
        <f>IFERROR(INDEX(MOVIMIENTOS!$B$5:$B$10004,AGGREGATE(15,6,(ROW(MOVIMIENTOS!$P$5:$P$10004)-ROW(MOVIMIENTOS!$P$5)+1)/(((MOVIMIENTOS!$C$5:$C$10004="Gasto")+(MOVIMIENTOS!$C$5:$C$10004="Compra"))*(MOVIMIENTOS!$P$5:$P$10004="Pendiente")),ROWS($A$5:A92))),"")</f>
        <v/>
      </c>
      <c r="C92">
        <f>IFERROR(INDEX(MOVIMIENTOS!$E$5:$E$10004,AGGREGATE(15,6,(ROW(MOVIMIENTOS!$P$5:$P$10004)-ROW(MOVIMIENTOS!$P$5)+1)/(((MOVIMIENTOS!$C$5:$C$10004="Gasto")+(MOVIMIENTOS!$C$5:$C$10004="Compra"))*(MOVIMIENTOS!$P$5:$P$10004="Pendiente")),ROWS($A$5:A92))),"")</f>
        <v/>
      </c>
      <c r="D92">
        <f>IFERROR(INDEX(MOVIMIENTOS!$D$5:$D$10004,AGGREGATE(15,6,(ROW(MOVIMIENTOS!$P$5:$P$10004)-ROW(MOVIMIENTOS!$P$5)+1)/(((MOVIMIENTOS!$C$5:$C$10004="Gasto")+(MOVIMIENTOS!$C$5:$C$10004="Compra"))*(MOVIMIENTOS!$P$5:$P$10004="Pendiente")),ROWS($A$5:A92))),"")</f>
        <v/>
      </c>
      <c r="E92">
        <f>IFERROR(INDEX(MOVIMIENTOS!$O$5:$O$10004,AGGREGATE(15,6,(ROW(MOVIMIENTOS!$P$5:$P$10004)-ROW(MOVIMIENTOS!$P$5)+1)/(((MOVIMIENTOS!$C$5:$C$10004="Gasto")+(MOVIMIENTOS!$C$5:$C$10004="Compra"))*(MOVIMIENTOS!$P$5:$P$10004="Pendiente")),ROWS($A$5:A92))),"")</f>
        <v/>
      </c>
      <c r="F92">
        <f>IF(A92="","",MAX(0,TODAY()-B92))</f>
        <v/>
      </c>
      <c r="G92">
        <f>IFERROR(INDEX(MOVIMIENTOS!$P$5:$P$10004,AGGREGATE(15,6,(ROW(MOVIMIENTOS!$P$5:$P$10004)-ROW(MOVIMIENTOS!$P$5)+1)/(((MOVIMIENTOS!$C$5:$C$10004="Gasto")+(MOVIMIENTOS!$C$5:$C$10004="Compra"))*(MOVIMIENTOS!$P$5:$P$10004="Pendiente")),ROWS($A$5:A92))),"")</f>
        <v/>
      </c>
    </row>
    <row r="93">
      <c r="A93">
        <f>IFERROR(INDEX(MOVIMIENTOS!$A$5:$A$10004,AGGREGATE(15,6,(ROW(MOVIMIENTOS!$P$5:$P$10004)-ROW(MOVIMIENTOS!$P$5)+1)/(((MOVIMIENTOS!$C$5:$C$10004="Gasto")+(MOVIMIENTOS!$C$5:$C$10004="Compra"))*(MOVIMIENTOS!$P$5:$P$10004="Pendiente")),ROWS($A$5:A93))),"")</f>
        <v/>
      </c>
      <c r="B93">
        <f>IFERROR(INDEX(MOVIMIENTOS!$B$5:$B$10004,AGGREGATE(15,6,(ROW(MOVIMIENTOS!$P$5:$P$10004)-ROW(MOVIMIENTOS!$P$5)+1)/(((MOVIMIENTOS!$C$5:$C$10004="Gasto")+(MOVIMIENTOS!$C$5:$C$10004="Compra"))*(MOVIMIENTOS!$P$5:$P$10004="Pendiente")),ROWS($A$5:A93))),"")</f>
        <v/>
      </c>
      <c r="C93">
        <f>IFERROR(INDEX(MOVIMIENTOS!$E$5:$E$10004,AGGREGATE(15,6,(ROW(MOVIMIENTOS!$P$5:$P$10004)-ROW(MOVIMIENTOS!$P$5)+1)/(((MOVIMIENTOS!$C$5:$C$10004="Gasto")+(MOVIMIENTOS!$C$5:$C$10004="Compra"))*(MOVIMIENTOS!$P$5:$P$10004="Pendiente")),ROWS($A$5:A93))),"")</f>
        <v/>
      </c>
      <c r="D93">
        <f>IFERROR(INDEX(MOVIMIENTOS!$D$5:$D$10004,AGGREGATE(15,6,(ROW(MOVIMIENTOS!$P$5:$P$10004)-ROW(MOVIMIENTOS!$P$5)+1)/(((MOVIMIENTOS!$C$5:$C$10004="Gasto")+(MOVIMIENTOS!$C$5:$C$10004="Compra"))*(MOVIMIENTOS!$P$5:$P$10004="Pendiente")),ROWS($A$5:A93))),"")</f>
        <v/>
      </c>
      <c r="E93">
        <f>IFERROR(INDEX(MOVIMIENTOS!$O$5:$O$10004,AGGREGATE(15,6,(ROW(MOVIMIENTOS!$P$5:$P$10004)-ROW(MOVIMIENTOS!$P$5)+1)/(((MOVIMIENTOS!$C$5:$C$10004="Gasto")+(MOVIMIENTOS!$C$5:$C$10004="Compra"))*(MOVIMIENTOS!$P$5:$P$10004="Pendiente")),ROWS($A$5:A93))),"")</f>
        <v/>
      </c>
      <c r="F93">
        <f>IF(A93="","",MAX(0,TODAY()-B93))</f>
        <v/>
      </c>
      <c r="G93">
        <f>IFERROR(INDEX(MOVIMIENTOS!$P$5:$P$10004,AGGREGATE(15,6,(ROW(MOVIMIENTOS!$P$5:$P$10004)-ROW(MOVIMIENTOS!$P$5)+1)/(((MOVIMIENTOS!$C$5:$C$10004="Gasto")+(MOVIMIENTOS!$C$5:$C$10004="Compra"))*(MOVIMIENTOS!$P$5:$P$10004="Pendiente")),ROWS($A$5:A93))),"")</f>
        <v/>
      </c>
    </row>
    <row r="94">
      <c r="A94">
        <f>IFERROR(INDEX(MOVIMIENTOS!$A$5:$A$10004,AGGREGATE(15,6,(ROW(MOVIMIENTOS!$P$5:$P$10004)-ROW(MOVIMIENTOS!$P$5)+1)/(((MOVIMIENTOS!$C$5:$C$10004="Gasto")+(MOVIMIENTOS!$C$5:$C$10004="Compra"))*(MOVIMIENTOS!$P$5:$P$10004="Pendiente")),ROWS($A$5:A94))),"")</f>
        <v/>
      </c>
      <c r="B94">
        <f>IFERROR(INDEX(MOVIMIENTOS!$B$5:$B$10004,AGGREGATE(15,6,(ROW(MOVIMIENTOS!$P$5:$P$10004)-ROW(MOVIMIENTOS!$P$5)+1)/(((MOVIMIENTOS!$C$5:$C$10004="Gasto")+(MOVIMIENTOS!$C$5:$C$10004="Compra"))*(MOVIMIENTOS!$P$5:$P$10004="Pendiente")),ROWS($A$5:A94))),"")</f>
        <v/>
      </c>
      <c r="C94">
        <f>IFERROR(INDEX(MOVIMIENTOS!$E$5:$E$10004,AGGREGATE(15,6,(ROW(MOVIMIENTOS!$P$5:$P$10004)-ROW(MOVIMIENTOS!$P$5)+1)/(((MOVIMIENTOS!$C$5:$C$10004="Gasto")+(MOVIMIENTOS!$C$5:$C$10004="Compra"))*(MOVIMIENTOS!$P$5:$P$10004="Pendiente")),ROWS($A$5:A94))),"")</f>
        <v/>
      </c>
      <c r="D94">
        <f>IFERROR(INDEX(MOVIMIENTOS!$D$5:$D$10004,AGGREGATE(15,6,(ROW(MOVIMIENTOS!$P$5:$P$10004)-ROW(MOVIMIENTOS!$P$5)+1)/(((MOVIMIENTOS!$C$5:$C$10004="Gasto")+(MOVIMIENTOS!$C$5:$C$10004="Compra"))*(MOVIMIENTOS!$P$5:$P$10004="Pendiente")),ROWS($A$5:A94))),"")</f>
        <v/>
      </c>
      <c r="E94">
        <f>IFERROR(INDEX(MOVIMIENTOS!$O$5:$O$10004,AGGREGATE(15,6,(ROW(MOVIMIENTOS!$P$5:$P$10004)-ROW(MOVIMIENTOS!$P$5)+1)/(((MOVIMIENTOS!$C$5:$C$10004="Gasto")+(MOVIMIENTOS!$C$5:$C$10004="Compra"))*(MOVIMIENTOS!$P$5:$P$10004="Pendiente")),ROWS($A$5:A94))),"")</f>
        <v/>
      </c>
      <c r="F94">
        <f>IF(A94="","",MAX(0,TODAY()-B94))</f>
        <v/>
      </c>
      <c r="G94">
        <f>IFERROR(INDEX(MOVIMIENTOS!$P$5:$P$10004,AGGREGATE(15,6,(ROW(MOVIMIENTOS!$P$5:$P$10004)-ROW(MOVIMIENTOS!$P$5)+1)/(((MOVIMIENTOS!$C$5:$C$10004="Gasto")+(MOVIMIENTOS!$C$5:$C$10004="Compra"))*(MOVIMIENTOS!$P$5:$P$10004="Pendiente")),ROWS($A$5:A94))),"")</f>
        <v/>
      </c>
    </row>
    <row r="95">
      <c r="A95">
        <f>IFERROR(INDEX(MOVIMIENTOS!$A$5:$A$10004,AGGREGATE(15,6,(ROW(MOVIMIENTOS!$P$5:$P$10004)-ROW(MOVIMIENTOS!$P$5)+1)/(((MOVIMIENTOS!$C$5:$C$10004="Gasto")+(MOVIMIENTOS!$C$5:$C$10004="Compra"))*(MOVIMIENTOS!$P$5:$P$10004="Pendiente")),ROWS($A$5:A95))),"")</f>
        <v/>
      </c>
      <c r="B95">
        <f>IFERROR(INDEX(MOVIMIENTOS!$B$5:$B$10004,AGGREGATE(15,6,(ROW(MOVIMIENTOS!$P$5:$P$10004)-ROW(MOVIMIENTOS!$P$5)+1)/(((MOVIMIENTOS!$C$5:$C$10004="Gasto")+(MOVIMIENTOS!$C$5:$C$10004="Compra"))*(MOVIMIENTOS!$P$5:$P$10004="Pendiente")),ROWS($A$5:A95))),"")</f>
        <v/>
      </c>
      <c r="C95">
        <f>IFERROR(INDEX(MOVIMIENTOS!$E$5:$E$10004,AGGREGATE(15,6,(ROW(MOVIMIENTOS!$P$5:$P$10004)-ROW(MOVIMIENTOS!$P$5)+1)/(((MOVIMIENTOS!$C$5:$C$10004="Gasto")+(MOVIMIENTOS!$C$5:$C$10004="Compra"))*(MOVIMIENTOS!$P$5:$P$10004="Pendiente")),ROWS($A$5:A95))),"")</f>
        <v/>
      </c>
      <c r="D95">
        <f>IFERROR(INDEX(MOVIMIENTOS!$D$5:$D$10004,AGGREGATE(15,6,(ROW(MOVIMIENTOS!$P$5:$P$10004)-ROW(MOVIMIENTOS!$P$5)+1)/(((MOVIMIENTOS!$C$5:$C$10004="Gasto")+(MOVIMIENTOS!$C$5:$C$10004="Compra"))*(MOVIMIENTOS!$P$5:$P$10004="Pendiente")),ROWS($A$5:A95))),"")</f>
        <v/>
      </c>
      <c r="E95">
        <f>IFERROR(INDEX(MOVIMIENTOS!$O$5:$O$10004,AGGREGATE(15,6,(ROW(MOVIMIENTOS!$P$5:$P$10004)-ROW(MOVIMIENTOS!$P$5)+1)/(((MOVIMIENTOS!$C$5:$C$10004="Gasto")+(MOVIMIENTOS!$C$5:$C$10004="Compra"))*(MOVIMIENTOS!$P$5:$P$10004="Pendiente")),ROWS($A$5:A95))),"")</f>
        <v/>
      </c>
      <c r="F95">
        <f>IF(A95="","",MAX(0,TODAY()-B95))</f>
        <v/>
      </c>
      <c r="G95">
        <f>IFERROR(INDEX(MOVIMIENTOS!$P$5:$P$10004,AGGREGATE(15,6,(ROW(MOVIMIENTOS!$P$5:$P$10004)-ROW(MOVIMIENTOS!$P$5)+1)/(((MOVIMIENTOS!$C$5:$C$10004="Gasto")+(MOVIMIENTOS!$C$5:$C$10004="Compra"))*(MOVIMIENTOS!$P$5:$P$10004="Pendiente")),ROWS($A$5:A95))),"")</f>
        <v/>
      </c>
    </row>
    <row r="96">
      <c r="A96">
        <f>IFERROR(INDEX(MOVIMIENTOS!$A$5:$A$10004,AGGREGATE(15,6,(ROW(MOVIMIENTOS!$P$5:$P$10004)-ROW(MOVIMIENTOS!$P$5)+1)/(((MOVIMIENTOS!$C$5:$C$10004="Gasto")+(MOVIMIENTOS!$C$5:$C$10004="Compra"))*(MOVIMIENTOS!$P$5:$P$10004="Pendiente")),ROWS($A$5:A96))),"")</f>
        <v/>
      </c>
      <c r="B96">
        <f>IFERROR(INDEX(MOVIMIENTOS!$B$5:$B$10004,AGGREGATE(15,6,(ROW(MOVIMIENTOS!$P$5:$P$10004)-ROW(MOVIMIENTOS!$P$5)+1)/(((MOVIMIENTOS!$C$5:$C$10004="Gasto")+(MOVIMIENTOS!$C$5:$C$10004="Compra"))*(MOVIMIENTOS!$P$5:$P$10004="Pendiente")),ROWS($A$5:A96))),"")</f>
        <v/>
      </c>
      <c r="C96">
        <f>IFERROR(INDEX(MOVIMIENTOS!$E$5:$E$10004,AGGREGATE(15,6,(ROW(MOVIMIENTOS!$P$5:$P$10004)-ROW(MOVIMIENTOS!$P$5)+1)/(((MOVIMIENTOS!$C$5:$C$10004="Gasto")+(MOVIMIENTOS!$C$5:$C$10004="Compra"))*(MOVIMIENTOS!$P$5:$P$10004="Pendiente")),ROWS($A$5:A96))),"")</f>
        <v/>
      </c>
      <c r="D96">
        <f>IFERROR(INDEX(MOVIMIENTOS!$D$5:$D$10004,AGGREGATE(15,6,(ROW(MOVIMIENTOS!$P$5:$P$10004)-ROW(MOVIMIENTOS!$P$5)+1)/(((MOVIMIENTOS!$C$5:$C$10004="Gasto")+(MOVIMIENTOS!$C$5:$C$10004="Compra"))*(MOVIMIENTOS!$P$5:$P$10004="Pendiente")),ROWS($A$5:A96))),"")</f>
        <v/>
      </c>
      <c r="E96">
        <f>IFERROR(INDEX(MOVIMIENTOS!$O$5:$O$10004,AGGREGATE(15,6,(ROW(MOVIMIENTOS!$P$5:$P$10004)-ROW(MOVIMIENTOS!$P$5)+1)/(((MOVIMIENTOS!$C$5:$C$10004="Gasto")+(MOVIMIENTOS!$C$5:$C$10004="Compra"))*(MOVIMIENTOS!$P$5:$P$10004="Pendiente")),ROWS($A$5:A96))),"")</f>
        <v/>
      </c>
      <c r="F96">
        <f>IF(A96="","",MAX(0,TODAY()-B96))</f>
        <v/>
      </c>
      <c r="G96">
        <f>IFERROR(INDEX(MOVIMIENTOS!$P$5:$P$10004,AGGREGATE(15,6,(ROW(MOVIMIENTOS!$P$5:$P$10004)-ROW(MOVIMIENTOS!$P$5)+1)/(((MOVIMIENTOS!$C$5:$C$10004="Gasto")+(MOVIMIENTOS!$C$5:$C$10004="Compra"))*(MOVIMIENTOS!$P$5:$P$10004="Pendiente")),ROWS($A$5:A96))),"")</f>
        <v/>
      </c>
    </row>
    <row r="97">
      <c r="A97">
        <f>IFERROR(INDEX(MOVIMIENTOS!$A$5:$A$10004,AGGREGATE(15,6,(ROW(MOVIMIENTOS!$P$5:$P$10004)-ROW(MOVIMIENTOS!$P$5)+1)/(((MOVIMIENTOS!$C$5:$C$10004="Gasto")+(MOVIMIENTOS!$C$5:$C$10004="Compra"))*(MOVIMIENTOS!$P$5:$P$10004="Pendiente")),ROWS($A$5:A97))),"")</f>
        <v/>
      </c>
      <c r="B97">
        <f>IFERROR(INDEX(MOVIMIENTOS!$B$5:$B$10004,AGGREGATE(15,6,(ROW(MOVIMIENTOS!$P$5:$P$10004)-ROW(MOVIMIENTOS!$P$5)+1)/(((MOVIMIENTOS!$C$5:$C$10004="Gasto")+(MOVIMIENTOS!$C$5:$C$10004="Compra"))*(MOVIMIENTOS!$P$5:$P$10004="Pendiente")),ROWS($A$5:A97))),"")</f>
        <v/>
      </c>
      <c r="C97">
        <f>IFERROR(INDEX(MOVIMIENTOS!$E$5:$E$10004,AGGREGATE(15,6,(ROW(MOVIMIENTOS!$P$5:$P$10004)-ROW(MOVIMIENTOS!$P$5)+1)/(((MOVIMIENTOS!$C$5:$C$10004="Gasto")+(MOVIMIENTOS!$C$5:$C$10004="Compra"))*(MOVIMIENTOS!$P$5:$P$10004="Pendiente")),ROWS($A$5:A97))),"")</f>
        <v/>
      </c>
      <c r="D97">
        <f>IFERROR(INDEX(MOVIMIENTOS!$D$5:$D$10004,AGGREGATE(15,6,(ROW(MOVIMIENTOS!$P$5:$P$10004)-ROW(MOVIMIENTOS!$P$5)+1)/(((MOVIMIENTOS!$C$5:$C$10004="Gasto")+(MOVIMIENTOS!$C$5:$C$10004="Compra"))*(MOVIMIENTOS!$P$5:$P$10004="Pendiente")),ROWS($A$5:A97))),"")</f>
        <v/>
      </c>
      <c r="E97">
        <f>IFERROR(INDEX(MOVIMIENTOS!$O$5:$O$10004,AGGREGATE(15,6,(ROW(MOVIMIENTOS!$P$5:$P$10004)-ROW(MOVIMIENTOS!$P$5)+1)/(((MOVIMIENTOS!$C$5:$C$10004="Gasto")+(MOVIMIENTOS!$C$5:$C$10004="Compra"))*(MOVIMIENTOS!$P$5:$P$10004="Pendiente")),ROWS($A$5:A97))),"")</f>
        <v/>
      </c>
      <c r="F97">
        <f>IF(A97="","",MAX(0,TODAY()-B97))</f>
        <v/>
      </c>
      <c r="G97">
        <f>IFERROR(INDEX(MOVIMIENTOS!$P$5:$P$10004,AGGREGATE(15,6,(ROW(MOVIMIENTOS!$P$5:$P$10004)-ROW(MOVIMIENTOS!$P$5)+1)/(((MOVIMIENTOS!$C$5:$C$10004="Gasto")+(MOVIMIENTOS!$C$5:$C$10004="Compra"))*(MOVIMIENTOS!$P$5:$P$10004="Pendiente")),ROWS($A$5:A97))),"")</f>
        <v/>
      </c>
    </row>
    <row r="98">
      <c r="A98">
        <f>IFERROR(INDEX(MOVIMIENTOS!$A$5:$A$10004,AGGREGATE(15,6,(ROW(MOVIMIENTOS!$P$5:$P$10004)-ROW(MOVIMIENTOS!$P$5)+1)/(((MOVIMIENTOS!$C$5:$C$10004="Gasto")+(MOVIMIENTOS!$C$5:$C$10004="Compra"))*(MOVIMIENTOS!$P$5:$P$10004="Pendiente")),ROWS($A$5:A98))),"")</f>
        <v/>
      </c>
      <c r="B98">
        <f>IFERROR(INDEX(MOVIMIENTOS!$B$5:$B$10004,AGGREGATE(15,6,(ROW(MOVIMIENTOS!$P$5:$P$10004)-ROW(MOVIMIENTOS!$P$5)+1)/(((MOVIMIENTOS!$C$5:$C$10004="Gasto")+(MOVIMIENTOS!$C$5:$C$10004="Compra"))*(MOVIMIENTOS!$P$5:$P$10004="Pendiente")),ROWS($A$5:A98))),"")</f>
        <v/>
      </c>
      <c r="C98">
        <f>IFERROR(INDEX(MOVIMIENTOS!$E$5:$E$10004,AGGREGATE(15,6,(ROW(MOVIMIENTOS!$P$5:$P$10004)-ROW(MOVIMIENTOS!$P$5)+1)/(((MOVIMIENTOS!$C$5:$C$10004="Gasto")+(MOVIMIENTOS!$C$5:$C$10004="Compra"))*(MOVIMIENTOS!$P$5:$P$10004="Pendiente")),ROWS($A$5:A98))),"")</f>
        <v/>
      </c>
      <c r="D98">
        <f>IFERROR(INDEX(MOVIMIENTOS!$D$5:$D$10004,AGGREGATE(15,6,(ROW(MOVIMIENTOS!$P$5:$P$10004)-ROW(MOVIMIENTOS!$P$5)+1)/(((MOVIMIENTOS!$C$5:$C$10004="Gasto")+(MOVIMIENTOS!$C$5:$C$10004="Compra"))*(MOVIMIENTOS!$P$5:$P$10004="Pendiente")),ROWS($A$5:A98))),"")</f>
        <v/>
      </c>
      <c r="E98">
        <f>IFERROR(INDEX(MOVIMIENTOS!$O$5:$O$10004,AGGREGATE(15,6,(ROW(MOVIMIENTOS!$P$5:$P$10004)-ROW(MOVIMIENTOS!$P$5)+1)/(((MOVIMIENTOS!$C$5:$C$10004="Gasto")+(MOVIMIENTOS!$C$5:$C$10004="Compra"))*(MOVIMIENTOS!$P$5:$P$10004="Pendiente")),ROWS($A$5:A98))),"")</f>
        <v/>
      </c>
      <c r="F98">
        <f>IF(A98="","",MAX(0,TODAY()-B98))</f>
        <v/>
      </c>
      <c r="G98">
        <f>IFERROR(INDEX(MOVIMIENTOS!$P$5:$P$10004,AGGREGATE(15,6,(ROW(MOVIMIENTOS!$P$5:$P$10004)-ROW(MOVIMIENTOS!$P$5)+1)/(((MOVIMIENTOS!$C$5:$C$10004="Gasto")+(MOVIMIENTOS!$C$5:$C$10004="Compra"))*(MOVIMIENTOS!$P$5:$P$10004="Pendiente")),ROWS($A$5:A98))),"")</f>
        <v/>
      </c>
    </row>
    <row r="99">
      <c r="A99">
        <f>IFERROR(INDEX(MOVIMIENTOS!$A$5:$A$10004,AGGREGATE(15,6,(ROW(MOVIMIENTOS!$P$5:$P$10004)-ROW(MOVIMIENTOS!$P$5)+1)/(((MOVIMIENTOS!$C$5:$C$10004="Gasto")+(MOVIMIENTOS!$C$5:$C$10004="Compra"))*(MOVIMIENTOS!$P$5:$P$10004="Pendiente")),ROWS($A$5:A99))),"")</f>
        <v/>
      </c>
      <c r="B99">
        <f>IFERROR(INDEX(MOVIMIENTOS!$B$5:$B$10004,AGGREGATE(15,6,(ROW(MOVIMIENTOS!$P$5:$P$10004)-ROW(MOVIMIENTOS!$P$5)+1)/(((MOVIMIENTOS!$C$5:$C$10004="Gasto")+(MOVIMIENTOS!$C$5:$C$10004="Compra"))*(MOVIMIENTOS!$P$5:$P$10004="Pendiente")),ROWS($A$5:A99))),"")</f>
        <v/>
      </c>
      <c r="C99">
        <f>IFERROR(INDEX(MOVIMIENTOS!$E$5:$E$10004,AGGREGATE(15,6,(ROW(MOVIMIENTOS!$P$5:$P$10004)-ROW(MOVIMIENTOS!$P$5)+1)/(((MOVIMIENTOS!$C$5:$C$10004="Gasto")+(MOVIMIENTOS!$C$5:$C$10004="Compra"))*(MOVIMIENTOS!$P$5:$P$10004="Pendiente")),ROWS($A$5:A99))),"")</f>
        <v/>
      </c>
      <c r="D99">
        <f>IFERROR(INDEX(MOVIMIENTOS!$D$5:$D$10004,AGGREGATE(15,6,(ROW(MOVIMIENTOS!$P$5:$P$10004)-ROW(MOVIMIENTOS!$P$5)+1)/(((MOVIMIENTOS!$C$5:$C$10004="Gasto")+(MOVIMIENTOS!$C$5:$C$10004="Compra"))*(MOVIMIENTOS!$P$5:$P$10004="Pendiente")),ROWS($A$5:A99))),"")</f>
        <v/>
      </c>
      <c r="E99">
        <f>IFERROR(INDEX(MOVIMIENTOS!$O$5:$O$10004,AGGREGATE(15,6,(ROW(MOVIMIENTOS!$P$5:$P$10004)-ROW(MOVIMIENTOS!$P$5)+1)/(((MOVIMIENTOS!$C$5:$C$10004="Gasto")+(MOVIMIENTOS!$C$5:$C$10004="Compra"))*(MOVIMIENTOS!$P$5:$P$10004="Pendiente")),ROWS($A$5:A99))),"")</f>
        <v/>
      </c>
      <c r="F99">
        <f>IF(A99="","",MAX(0,TODAY()-B99))</f>
        <v/>
      </c>
      <c r="G99">
        <f>IFERROR(INDEX(MOVIMIENTOS!$P$5:$P$10004,AGGREGATE(15,6,(ROW(MOVIMIENTOS!$P$5:$P$10004)-ROW(MOVIMIENTOS!$P$5)+1)/(((MOVIMIENTOS!$C$5:$C$10004="Gasto")+(MOVIMIENTOS!$C$5:$C$10004="Compra"))*(MOVIMIENTOS!$P$5:$P$10004="Pendiente")),ROWS($A$5:A99))),"")</f>
        <v/>
      </c>
    </row>
    <row r="100">
      <c r="A100">
        <f>IFERROR(INDEX(MOVIMIENTOS!$A$5:$A$10004,AGGREGATE(15,6,(ROW(MOVIMIENTOS!$P$5:$P$10004)-ROW(MOVIMIENTOS!$P$5)+1)/(((MOVIMIENTOS!$C$5:$C$10004="Gasto")+(MOVIMIENTOS!$C$5:$C$10004="Compra"))*(MOVIMIENTOS!$P$5:$P$10004="Pendiente")),ROWS($A$5:A100))),"")</f>
        <v/>
      </c>
      <c r="B100">
        <f>IFERROR(INDEX(MOVIMIENTOS!$B$5:$B$10004,AGGREGATE(15,6,(ROW(MOVIMIENTOS!$P$5:$P$10004)-ROW(MOVIMIENTOS!$P$5)+1)/(((MOVIMIENTOS!$C$5:$C$10004="Gasto")+(MOVIMIENTOS!$C$5:$C$10004="Compra"))*(MOVIMIENTOS!$P$5:$P$10004="Pendiente")),ROWS($A$5:A100))),"")</f>
        <v/>
      </c>
      <c r="C100">
        <f>IFERROR(INDEX(MOVIMIENTOS!$E$5:$E$10004,AGGREGATE(15,6,(ROW(MOVIMIENTOS!$P$5:$P$10004)-ROW(MOVIMIENTOS!$P$5)+1)/(((MOVIMIENTOS!$C$5:$C$10004="Gasto")+(MOVIMIENTOS!$C$5:$C$10004="Compra"))*(MOVIMIENTOS!$P$5:$P$10004="Pendiente")),ROWS($A$5:A100))),"")</f>
        <v/>
      </c>
      <c r="D100">
        <f>IFERROR(INDEX(MOVIMIENTOS!$D$5:$D$10004,AGGREGATE(15,6,(ROW(MOVIMIENTOS!$P$5:$P$10004)-ROW(MOVIMIENTOS!$P$5)+1)/(((MOVIMIENTOS!$C$5:$C$10004="Gasto")+(MOVIMIENTOS!$C$5:$C$10004="Compra"))*(MOVIMIENTOS!$P$5:$P$10004="Pendiente")),ROWS($A$5:A100))),"")</f>
        <v/>
      </c>
      <c r="E100">
        <f>IFERROR(INDEX(MOVIMIENTOS!$O$5:$O$10004,AGGREGATE(15,6,(ROW(MOVIMIENTOS!$P$5:$P$10004)-ROW(MOVIMIENTOS!$P$5)+1)/(((MOVIMIENTOS!$C$5:$C$10004="Gasto")+(MOVIMIENTOS!$C$5:$C$10004="Compra"))*(MOVIMIENTOS!$P$5:$P$10004="Pendiente")),ROWS($A$5:A100))),"")</f>
        <v/>
      </c>
      <c r="F100">
        <f>IF(A100="","",MAX(0,TODAY()-B100))</f>
        <v/>
      </c>
      <c r="G100">
        <f>IFERROR(INDEX(MOVIMIENTOS!$P$5:$P$10004,AGGREGATE(15,6,(ROW(MOVIMIENTOS!$P$5:$P$10004)-ROW(MOVIMIENTOS!$P$5)+1)/(((MOVIMIENTOS!$C$5:$C$10004="Gasto")+(MOVIMIENTOS!$C$5:$C$10004="Compra"))*(MOVIMIENTOS!$P$5:$P$10004="Pendiente")),ROWS($A$5:A100))),"")</f>
        <v/>
      </c>
    </row>
    <row r="101">
      <c r="A101">
        <f>IFERROR(INDEX(MOVIMIENTOS!$A$5:$A$10004,AGGREGATE(15,6,(ROW(MOVIMIENTOS!$P$5:$P$10004)-ROW(MOVIMIENTOS!$P$5)+1)/(((MOVIMIENTOS!$C$5:$C$10004="Gasto")+(MOVIMIENTOS!$C$5:$C$10004="Compra"))*(MOVIMIENTOS!$P$5:$P$10004="Pendiente")),ROWS($A$5:A101))),"")</f>
        <v/>
      </c>
      <c r="B101">
        <f>IFERROR(INDEX(MOVIMIENTOS!$B$5:$B$10004,AGGREGATE(15,6,(ROW(MOVIMIENTOS!$P$5:$P$10004)-ROW(MOVIMIENTOS!$P$5)+1)/(((MOVIMIENTOS!$C$5:$C$10004="Gasto")+(MOVIMIENTOS!$C$5:$C$10004="Compra"))*(MOVIMIENTOS!$P$5:$P$10004="Pendiente")),ROWS($A$5:A101))),"")</f>
        <v/>
      </c>
      <c r="C101">
        <f>IFERROR(INDEX(MOVIMIENTOS!$E$5:$E$10004,AGGREGATE(15,6,(ROW(MOVIMIENTOS!$P$5:$P$10004)-ROW(MOVIMIENTOS!$P$5)+1)/(((MOVIMIENTOS!$C$5:$C$10004="Gasto")+(MOVIMIENTOS!$C$5:$C$10004="Compra"))*(MOVIMIENTOS!$P$5:$P$10004="Pendiente")),ROWS($A$5:A101))),"")</f>
        <v/>
      </c>
      <c r="D101">
        <f>IFERROR(INDEX(MOVIMIENTOS!$D$5:$D$10004,AGGREGATE(15,6,(ROW(MOVIMIENTOS!$P$5:$P$10004)-ROW(MOVIMIENTOS!$P$5)+1)/(((MOVIMIENTOS!$C$5:$C$10004="Gasto")+(MOVIMIENTOS!$C$5:$C$10004="Compra"))*(MOVIMIENTOS!$P$5:$P$10004="Pendiente")),ROWS($A$5:A101))),"")</f>
        <v/>
      </c>
      <c r="E101">
        <f>IFERROR(INDEX(MOVIMIENTOS!$O$5:$O$10004,AGGREGATE(15,6,(ROW(MOVIMIENTOS!$P$5:$P$10004)-ROW(MOVIMIENTOS!$P$5)+1)/(((MOVIMIENTOS!$C$5:$C$10004="Gasto")+(MOVIMIENTOS!$C$5:$C$10004="Compra"))*(MOVIMIENTOS!$P$5:$P$10004="Pendiente")),ROWS($A$5:A101))),"")</f>
        <v/>
      </c>
      <c r="F101">
        <f>IF(A101="","",MAX(0,TODAY()-B101))</f>
        <v/>
      </c>
      <c r="G101">
        <f>IFERROR(INDEX(MOVIMIENTOS!$P$5:$P$10004,AGGREGATE(15,6,(ROW(MOVIMIENTOS!$P$5:$P$10004)-ROW(MOVIMIENTOS!$P$5)+1)/(((MOVIMIENTOS!$C$5:$C$10004="Gasto")+(MOVIMIENTOS!$C$5:$C$10004="Compra"))*(MOVIMIENTOS!$P$5:$P$10004="Pendiente")),ROWS($A$5:A101))),"")</f>
        <v/>
      </c>
    </row>
    <row r="102">
      <c r="A102">
        <f>IFERROR(INDEX(MOVIMIENTOS!$A$5:$A$10004,AGGREGATE(15,6,(ROW(MOVIMIENTOS!$P$5:$P$10004)-ROW(MOVIMIENTOS!$P$5)+1)/(((MOVIMIENTOS!$C$5:$C$10004="Gasto")+(MOVIMIENTOS!$C$5:$C$10004="Compra"))*(MOVIMIENTOS!$P$5:$P$10004="Pendiente")),ROWS($A$5:A102))),"")</f>
        <v/>
      </c>
      <c r="B102">
        <f>IFERROR(INDEX(MOVIMIENTOS!$B$5:$B$10004,AGGREGATE(15,6,(ROW(MOVIMIENTOS!$P$5:$P$10004)-ROW(MOVIMIENTOS!$P$5)+1)/(((MOVIMIENTOS!$C$5:$C$10004="Gasto")+(MOVIMIENTOS!$C$5:$C$10004="Compra"))*(MOVIMIENTOS!$P$5:$P$10004="Pendiente")),ROWS($A$5:A102))),"")</f>
        <v/>
      </c>
      <c r="C102">
        <f>IFERROR(INDEX(MOVIMIENTOS!$E$5:$E$10004,AGGREGATE(15,6,(ROW(MOVIMIENTOS!$P$5:$P$10004)-ROW(MOVIMIENTOS!$P$5)+1)/(((MOVIMIENTOS!$C$5:$C$10004="Gasto")+(MOVIMIENTOS!$C$5:$C$10004="Compra"))*(MOVIMIENTOS!$P$5:$P$10004="Pendiente")),ROWS($A$5:A102))),"")</f>
        <v/>
      </c>
      <c r="D102">
        <f>IFERROR(INDEX(MOVIMIENTOS!$D$5:$D$10004,AGGREGATE(15,6,(ROW(MOVIMIENTOS!$P$5:$P$10004)-ROW(MOVIMIENTOS!$P$5)+1)/(((MOVIMIENTOS!$C$5:$C$10004="Gasto")+(MOVIMIENTOS!$C$5:$C$10004="Compra"))*(MOVIMIENTOS!$P$5:$P$10004="Pendiente")),ROWS($A$5:A102))),"")</f>
        <v/>
      </c>
      <c r="E102">
        <f>IFERROR(INDEX(MOVIMIENTOS!$O$5:$O$10004,AGGREGATE(15,6,(ROW(MOVIMIENTOS!$P$5:$P$10004)-ROW(MOVIMIENTOS!$P$5)+1)/(((MOVIMIENTOS!$C$5:$C$10004="Gasto")+(MOVIMIENTOS!$C$5:$C$10004="Compra"))*(MOVIMIENTOS!$P$5:$P$10004="Pendiente")),ROWS($A$5:A102))),"")</f>
        <v/>
      </c>
      <c r="F102">
        <f>IF(A102="","",MAX(0,TODAY()-B102))</f>
        <v/>
      </c>
      <c r="G102">
        <f>IFERROR(INDEX(MOVIMIENTOS!$P$5:$P$10004,AGGREGATE(15,6,(ROW(MOVIMIENTOS!$P$5:$P$10004)-ROW(MOVIMIENTOS!$P$5)+1)/(((MOVIMIENTOS!$C$5:$C$10004="Gasto")+(MOVIMIENTOS!$C$5:$C$10004="Compra"))*(MOVIMIENTOS!$P$5:$P$10004="Pendiente")),ROWS($A$5:A102))),"")</f>
        <v/>
      </c>
    </row>
    <row r="103">
      <c r="A103">
        <f>IFERROR(INDEX(MOVIMIENTOS!$A$5:$A$10004,AGGREGATE(15,6,(ROW(MOVIMIENTOS!$P$5:$P$10004)-ROW(MOVIMIENTOS!$P$5)+1)/(((MOVIMIENTOS!$C$5:$C$10004="Gasto")+(MOVIMIENTOS!$C$5:$C$10004="Compra"))*(MOVIMIENTOS!$P$5:$P$10004="Pendiente")),ROWS($A$5:A103))),"")</f>
        <v/>
      </c>
      <c r="B103">
        <f>IFERROR(INDEX(MOVIMIENTOS!$B$5:$B$10004,AGGREGATE(15,6,(ROW(MOVIMIENTOS!$P$5:$P$10004)-ROW(MOVIMIENTOS!$P$5)+1)/(((MOVIMIENTOS!$C$5:$C$10004="Gasto")+(MOVIMIENTOS!$C$5:$C$10004="Compra"))*(MOVIMIENTOS!$P$5:$P$10004="Pendiente")),ROWS($A$5:A103))),"")</f>
        <v/>
      </c>
      <c r="C103">
        <f>IFERROR(INDEX(MOVIMIENTOS!$E$5:$E$10004,AGGREGATE(15,6,(ROW(MOVIMIENTOS!$P$5:$P$10004)-ROW(MOVIMIENTOS!$P$5)+1)/(((MOVIMIENTOS!$C$5:$C$10004="Gasto")+(MOVIMIENTOS!$C$5:$C$10004="Compra"))*(MOVIMIENTOS!$P$5:$P$10004="Pendiente")),ROWS($A$5:A103))),"")</f>
        <v/>
      </c>
      <c r="D103">
        <f>IFERROR(INDEX(MOVIMIENTOS!$D$5:$D$10004,AGGREGATE(15,6,(ROW(MOVIMIENTOS!$P$5:$P$10004)-ROW(MOVIMIENTOS!$P$5)+1)/(((MOVIMIENTOS!$C$5:$C$10004="Gasto")+(MOVIMIENTOS!$C$5:$C$10004="Compra"))*(MOVIMIENTOS!$P$5:$P$10004="Pendiente")),ROWS($A$5:A103))),"")</f>
        <v/>
      </c>
      <c r="E103">
        <f>IFERROR(INDEX(MOVIMIENTOS!$O$5:$O$10004,AGGREGATE(15,6,(ROW(MOVIMIENTOS!$P$5:$P$10004)-ROW(MOVIMIENTOS!$P$5)+1)/(((MOVIMIENTOS!$C$5:$C$10004="Gasto")+(MOVIMIENTOS!$C$5:$C$10004="Compra"))*(MOVIMIENTOS!$P$5:$P$10004="Pendiente")),ROWS($A$5:A103))),"")</f>
        <v/>
      </c>
      <c r="F103">
        <f>IF(A103="","",MAX(0,TODAY()-B103))</f>
        <v/>
      </c>
      <c r="G103">
        <f>IFERROR(INDEX(MOVIMIENTOS!$P$5:$P$10004,AGGREGATE(15,6,(ROW(MOVIMIENTOS!$P$5:$P$10004)-ROW(MOVIMIENTOS!$P$5)+1)/(((MOVIMIENTOS!$C$5:$C$10004="Gasto")+(MOVIMIENTOS!$C$5:$C$10004="Compra"))*(MOVIMIENTOS!$P$5:$P$10004="Pendiente")),ROWS($A$5:A103))),"")</f>
        <v/>
      </c>
    </row>
    <row r="104">
      <c r="A104">
        <f>IFERROR(INDEX(MOVIMIENTOS!$A$5:$A$10004,AGGREGATE(15,6,(ROW(MOVIMIENTOS!$P$5:$P$10004)-ROW(MOVIMIENTOS!$P$5)+1)/(((MOVIMIENTOS!$C$5:$C$10004="Gasto")+(MOVIMIENTOS!$C$5:$C$10004="Compra"))*(MOVIMIENTOS!$P$5:$P$10004="Pendiente")),ROWS($A$5:A104))),"")</f>
        <v/>
      </c>
      <c r="B104">
        <f>IFERROR(INDEX(MOVIMIENTOS!$B$5:$B$10004,AGGREGATE(15,6,(ROW(MOVIMIENTOS!$P$5:$P$10004)-ROW(MOVIMIENTOS!$P$5)+1)/(((MOVIMIENTOS!$C$5:$C$10004="Gasto")+(MOVIMIENTOS!$C$5:$C$10004="Compra"))*(MOVIMIENTOS!$P$5:$P$10004="Pendiente")),ROWS($A$5:A104))),"")</f>
        <v/>
      </c>
      <c r="C104">
        <f>IFERROR(INDEX(MOVIMIENTOS!$E$5:$E$10004,AGGREGATE(15,6,(ROW(MOVIMIENTOS!$P$5:$P$10004)-ROW(MOVIMIENTOS!$P$5)+1)/(((MOVIMIENTOS!$C$5:$C$10004="Gasto")+(MOVIMIENTOS!$C$5:$C$10004="Compra"))*(MOVIMIENTOS!$P$5:$P$10004="Pendiente")),ROWS($A$5:A104))),"")</f>
        <v/>
      </c>
      <c r="D104">
        <f>IFERROR(INDEX(MOVIMIENTOS!$D$5:$D$10004,AGGREGATE(15,6,(ROW(MOVIMIENTOS!$P$5:$P$10004)-ROW(MOVIMIENTOS!$P$5)+1)/(((MOVIMIENTOS!$C$5:$C$10004="Gasto")+(MOVIMIENTOS!$C$5:$C$10004="Compra"))*(MOVIMIENTOS!$P$5:$P$10004="Pendiente")),ROWS($A$5:A104))),"")</f>
        <v/>
      </c>
      <c r="E104">
        <f>IFERROR(INDEX(MOVIMIENTOS!$O$5:$O$10004,AGGREGATE(15,6,(ROW(MOVIMIENTOS!$P$5:$P$10004)-ROW(MOVIMIENTOS!$P$5)+1)/(((MOVIMIENTOS!$C$5:$C$10004="Gasto")+(MOVIMIENTOS!$C$5:$C$10004="Compra"))*(MOVIMIENTOS!$P$5:$P$10004="Pendiente")),ROWS($A$5:A104))),"")</f>
        <v/>
      </c>
      <c r="F104">
        <f>IF(A104="","",MAX(0,TODAY()-B104))</f>
        <v/>
      </c>
      <c r="G104">
        <f>IFERROR(INDEX(MOVIMIENTOS!$P$5:$P$10004,AGGREGATE(15,6,(ROW(MOVIMIENTOS!$P$5:$P$10004)-ROW(MOVIMIENTOS!$P$5)+1)/(((MOVIMIENTOS!$C$5:$C$10004="Gasto")+(MOVIMIENTOS!$C$5:$C$10004="Compra"))*(MOVIMIENTOS!$P$5:$P$10004="Pendiente")),ROWS($A$5:A104))),"")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B7791F"/>
    <outlinePr summaryBelow="1" summaryRight="1"/>
    <pageSetUpPr/>
  </sheetPr>
  <dimension ref="A1:E16"/>
  <sheetViews>
    <sheetView workbookViewId="0">
      <selection activeCell="A1" sqref="A1"/>
    </sheetView>
  </sheetViews>
  <sheetFormatPr baseColWidth="10" defaultColWidth="9.140625" defaultRowHeight="15"/>
  <cols>
    <col width="12" customWidth="1" style="33" min="1" max="1"/>
    <col width="24" customWidth="1" style="33" min="2" max="5"/>
  </cols>
  <sheetData>
    <row r="1" ht="21" customHeight="1" s="33">
      <c r="A1" s="1" t="inlineStr">
        <is>
          <t>IMPUESTOS_REPORTE</t>
        </is>
      </c>
    </row>
    <row r="2">
      <c r="A2" s="2" t="inlineStr">
        <is>
          <t>Impuestos y retenciones causados por mes - base para declaraciones</t>
        </is>
      </c>
    </row>
    <row r="3">
      <c r="A3" t="inlineStr">
        <is>
          <t>Año del reporte</t>
        </is>
      </c>
      <c r="B3" s="29" t="n">
        <v>2026</v>
      </c>
    </row>
    <row r="4" ht="27.95" customHeight="1" s="33">
      <c r="A4" s="30" t="inlineStr">
        <is>
          <t>Mes</t>
        </is>
      </c>
      <c r="B4" s="30" t="inlineStr">
        <is>
          <t>Impuestos Causados (Ingresos)</t>
        </is>
      </c>
      <c r="C4" s="30" t="inlineStr">
        <is>
          <t>Impuestos Pagados (Gastos)</t>
        </is>
      </c>
      <c r="D4" s="30" t="inlineStr">
        <is>
          <t>Retenciones Practicadas</t>
        </is>
      </c>
      <c r="E4" s="30" t="inlineStr">
        <is>
          <t>Retenciones Sufridas</t>
        </is>
      </c>
    </row>
    <row r="5">
      <c r="A5" t="inlineStr">
        <is>
          <t>Enero</t>
        </is>
      </c>
      <c r="B5" s="42">
        <f>SUMPRODUCT((YEAR(MOVIMIENTOS!$B$5:$B$10004)=$B$3)*(MONTH(MOVIMIENTOS!$B$5:$B$10004)=1)*((MOVIMIENTOS!$C$5:$C$10004="Ingreso")+(MOVIMIENTOS!$C$5:$C$10004="Venta"))*MOVIMIENTOS!$M$5:$M$10004)</f>
        <v/>
      </c>
      <c r="C5" s="42">
        <f>SUMPRODUCT((YEAR(MOVIMIENTOS!$B$5:$B$10004)=$B$3)*(MONTH(MOVIMIENTOS!$B$5:$B$10004)=1)*((MOVIMIENTOS!$C$5:$C$10004="Gasto")+(MOVIMIENTOS!$C$5:$C$10004="Compra"))*MOVIMIENTOS!$M$5:$M$10004)</f>
        <v/>
      </c>
      <c r="D5" s="42">
        <f>SUMPRODUCT((YEAR(MOVIMIENTOS!$B$5:$B$10004)=$B$3)*(MONTH(MOVIMIENTOS!$B$5:$B$10004)=1)*((MOVIMIENTOS!$C$5:$C$10004="Gasto")+(MOVIMIENTOS!$C$5:$C$10004="Compra"))*MOVIMIENTOS!$N$5:$N$10004)</f>
        <v/>
      </c>
      <c r="E5" s="42">
        <f>SUMPRODUCT((YEAR(MOVIMIENTOS!$B$5:$B$10004)=$B$3)*(MONTH(MOVIMIENTOS!$B$5:$B$10004)=1)*((MOVIMIENTOS!$C$5:$C$10004="Ingreso")+(MOVIMIENTOS!$C$5:$C$10004="Venta"))*MOVIMIENTOS!$N$5:$N$10004)</f>
        <v/>
      </c>
    </row>
    <row r="6">
      <c r="A6" t="inlineStr">
        <is>
          <t>Febrero</t>
        </is>
      </c>
      <c r="B6" s="42">
        <f>SUMPRODUCT((YEAR(MOVIMIENTOS!$B$5:$B$10004)=$B$3)*(MONTH(MOVIMIENTOS!$B$5:$B$10004)=2)*((MOVIMIENTOS!$C$5:$C$10004="Ingreso")+(MOVIMIENTOS!$C$5:$C$10004="Venta"))*MOVIMIENTOS!$M$5:$M$10004)</f>
        <v/>
      </c>
      <c r="C6" s="42">
        <f>SUMPRODUCT((YEAR(MOVIMIENTOS!$B$5:$B$10004)=$B$3)*(MONTH(MOVIMIENTOS!$B$5:$B$10004)=2)*((MOVIMIENTOS!$C$5:$C$10004="Gasto")+(MOVIMIENTOS!$C$5:$C$10004="Compra"))*MOVIMIENTOS!$M$5:$M$10004)</f>
        <v/>
      </c>
      <c r="D6" s="42">
        <f>SUMPRODUCT((YEAR(MOVIMIENTOS!$B$5:$B$10004)=$B$3)*(MONTH(MOVIMIENTOS!$B$5:$B$10004)=2)*((MOVIMIENTOS!$C$5:$C$10004="Gasto")+(MOVIMIENTOS!$C$5:$C$10004="Compra"))*MOVIMIENTOS!$N$5:$N$10004)</f>
        <v/>
      </c>
      <c r="E6" s="42">
        <f>SUMPRODUCT((YEAR(MOVIMIENTOS!$B$5:$B$10004)=$B$3)*(MONTH(MOVIMIENTOS!$B$5:$B$10004)=2)*((MOVIMIENTOS!$C$5:$C$10004="Ingreso")+(MOVIMIENTOS!$C$5:$C$10004="Venta"))*MOVIMIENTOS!$N$5:$N$10004)</f>
        <v/>
      </c>
    </row>
    <row r="7">
      <c r="A7" t="inlineStr">
        <is>
          <t>Marzo</t>
        </is>
      </c>
      <c r="B7" s="42">
        <f>SUMPRODUCT((YEAR(MOVIMIENTOS!$B$5:$B$10004)=$B$3)*(MONTH(MOVIMIENTOS!$B$5:$B$10004)=3)*((MOVIMIENTOS!$C$5:$C$10004="Ingreso")+(MOVIMIENTOS!$C$5:$C$10004="Venta"))*MOVIMIENTOS!$M$5:$M$10004)</f>
        <v/>
      </c>
      <c r="C7" s="42">
        <f>SUMPRODUCT((YEAR(MOVIMIENTOS!$B$5:$B$10004)=$B$3)*(MONTH(MOVIMIENTOS!$B$5:$B$10004)=3)*((MOVIMIENTOS!$C$5:$C$10004="Gasto")+(MOVIMIENTOS!$C$5:$C$10004="Compra"))*MOVIMIENTOS!$M$5:$M$10004)</f>
        <v/>
      </c>
      <c r="D7" s="42">
        <f>SUMPRODUCT((YEAR(MOVIMIENTOS!$B$5:$B$10004)=$B$3)*(MONTH(MOVIMIENTOS!$B$5:$B$10004)=3)*((MOVIMIENTOS!$C$5:$C$10004="Gasto")+(MOVIMIENTOS!$C$5:$C$10004="Compra"))*MOVIMIENTOS!$N$5:$N$10004)</f>
        <v/>
      </c>
      <c r="E7" s="42">
        <f>SUMPRODUCT((YEAR(MOVIMIENTOS!$B$5:$B$10004)=$B$3)*(MONTH(MOVIMIENTOS!$B$5:$B$10004)=3)*((MOVIMIENTOS!$C$5:$C$10004="Ingreso")+(MOVIMIENTOS!$C$5:$C$10004="Venta"))*MOVIMIENTOS!$N$5:$N$10004)</f>
        <v/>
      </c>
    </row>
    <row r="8">
      <c r="A8" t="inlineStr">
        <is>
          <t>Abril</t>
        </is>
      </c>
      <c r="B8" s="42">
        <f>SUMPRODUCT((YEAR(MOVIMIENTOS!$B$5:$B$10004)=$B$3)*(MONTH(MOVIMIENTOS!$B$5:$B$10004)=4)*((MOVIMIENTOS!$C$5:$C$10004="Ingreso")+(MOVIMIENTOS!$C$5:$C$10004="Venta"))*MOVIMIENTOS!$M$5:$M$10004)</f>
        <v/>
      </c>
      <c r="C8" s="42">
        <f>SUMPRODUCT((YEAR(MOVIMIENTOS!$B$5:$B$10004)=$B$3)*(MONTH(MOVIMIENTOS!$B$5:$B$10004)=4)*((MOVIMIENTOS!$C$5:$C$10004="Gasto")+(MOVIMIENTOS!$C$5:$C$10004="Compra"))*MOVIMIENTOS!$M$5:$M$10004)</f>
        <v/>
      </c>
      <c r="D8" s="42">
        <f>SUMPRODUCT((YEAR(MOVIMIENTOS!$B$5:$B$10004)=$B$3)*(MONTH(MOVIMIENTOS!$B$5:$B$10004)=4)*((MOVIMIENTOS!$C$5:$C$10004="Gasto")+(MOVIMIENTOS!$C$5:$C$10004="Compra"))*MOVIMIENTOS!$N$5:$N$10004)</f>
        <v/>
      </c>
      <c r="E8" s="42">
        <f>SUMPRODUCT((YEAR(MOVIMIENTOS!$B$5:$B$10004)=$B$3)*(MONTH(MOVIMIENTOS!$B$5:$B$10004)=4)*((MOVIMIENTOS!$C$5:$C$10004="Ingreso")+(MOVIMIENTOS!$C$5:$C$10004="Venta"))*MOVIMIENTOS!$N$5:$N$10004)</f>
        <v/>
      </c>
    </row>
    <row r="9">
      <c r="A9" t="inlineStr">
        <is>
          <t>Mayo</t>
        </is>
      </c>
      <c r="B9" s="42">
        <f>SUMPRODUCT((YEAR(MOVIMIENTOS!$B$5:$B$10004)=$B$3)*(MONTH(MOVIMIENTOS!$B$5:$B$10004)=5)*((MOVIMIENTOS!$C$5:$C$10004="Ingreso")+(MOVIMIENTOS!$C$5:$C$10004="Venta"))*MOVIMIENTOS!$M$5:$M$10004)</f>
        <v/>
      </c>
      <c r="C9" s="42">
        <f>SUMPRODUCT((YEAR(MOVIMIENTOS!$B$5:$B$10004)=$B$3)*(MONTH(MOVIMIENTOS!$B$5:$B$10004)=5)*((MOVIMIENTOS!$C$5:$C$10004="Gasto")+(MOVIMIENTOS!$C$5:$C$10004="Compra"))*MOVIMIENTOS!$M$5:$M$10004)</f>
        <v/>
      </c>
      <c r="D9" s="42">
        <f>SUMPRODUCT((YEAR(MOVIMIENTOS!$B$5:$B$10004)=$B$3)*(MONTH(MOVIMIENTOS!$B$5:$B$10004)=5)*((MOVIMIENTOS!$C$5:$C$10004="Gasto")+(MOVIMIENTOS!$C$5:$C$10004="Compra"))*MOVIMIENTOS!$N$5:$N$10004)</f>
        <v/>
      </c>
      <c r="E9" s="42">
        <f>SUMPRODUCT((YEAR(MOVIMIENTOS!$B$5:$B$10004)=$B$3)*(MONTH(MOVIMIENTOS!$B$5:$B$10004)=5)*((MOVIMIENTOS!$C$5:$C$10004="Ingreso")+(MOVIMIENTOS!$C$5:$C$10004="Venta"))*MOVIMIENTOS!$N$5:$N$10004)</f>
        <v/>
      </c>
    </row>
    <row r="10">
      <c r="A10" t="inlineStr">
        <is>
          <t>Junio</t>
        </is>
      </c>
      <c r="B10" s="42">
        <f>SUMPRODUCT((YEAR(MOVIMIENTOS!$B$5:$B$10004)=$B$3)*(MONTH(MOVIMIENTOS!$B$5:$B$10004)=6)*((MOVIMIENTOS!$C$5:$C$10004="Ingreso")+(MOVIMIENTOS!$C$5:$C$10004="Venta"))*MOVIMIENTOS!$M$5:$M$10004)</f>
        <v/>
      </c>
      <c r="C10" s="42">
        <f>SUMPRODUCT((YEAR(MOVIMIENTOS!$B$5:$B$10004)=$B$3)*(MONTH(MOVIMIENTOS!$B$5:$B$10004)=6)*((MOVIMIENTOS!$C$5:$C$10004="Gasto")+(MOVIMIENTOS!$C$5:$C$10004="Compra"))*MOVIMIENTOS!$M$5:$M$10004)</f>
        <v/>
      </c>
      <c r="D10" s="42">
        <f>SUMPRODUCT((YEAR(MOVIMIENTOS!$B$5:$B$10004)=$B$3)*(MONTH(MOVIMIENTOS!$B$5:$B$10004)=6)*((MOVIMIENTOS!$C$5:$C$10004="Gasto")+(MOVIMIENTOS!$C$5:$C$10004="Compra"))*MOVIMIENTOS!$N$5:$N$10004)</f>
        <v/>
      </c>
      <c r="E10" s="42">
        <f>SUMPRODUCT((YEAR(MOVIMIENTOS!$B$5:$B$10004)=$B$3)*(MONTH(MOVIMIENTOS!$B$5:$B$10004)=6)*((MOVIMIENTOS!$C$5:$C$10004="Ingreso")+(MOVIMIENTOS!$C$5:$C$10004="Venta"))*MOVIMIENTOS!$N$5:$N$10004)</f>
        <v/>
      </c>
    </row>
    <row r="11">
      <c r="A11" t="inlineStr">
        <is>
          <t>Julio</t>
        </is>
      </c>
      <c r="B11" s="42">
        <f>SUMPRODUCT((YEAR(MOVIMIENTOS!$B$5:$B$10004)=$B$3)*(MONTH(MOVIMIENTOS!$B$5:$B$10004)=7)*((MOVIMIENTOS!$C$5:$C$10004="Ingreso")+(MOVIMIENTOS!$C$5:$C$10004="Venta"))*MOVIMIENTOS!$M$5:$M$10004)</f>
        <v/>
      </c>
      <c r="C11" s="42">
        <f>SUMPRODUCT((YEAR(MOVIMIENTOS!$B$5:$B$10004)=$B$3)*(MONTH(MOVIMIENTOS!$B$5:$B$10004)=7)*((MOVIMIENTOS!$C$5:$C$10004="Gasto")+(MOVIMIENTOS!$C$5:$C$10004="Compra"))*MOVIMIENTOS!$M$5:$M$10004)</f>
        <v/>
      </c>
      <c r="D11" s="42">
        <f>SUMPRODUCT((YEAR(MOVIMIENTOS!$B$5:$B$10004)=$B$3)*(MONTH(MOVIMIENTOS!$B$5:$B$10004)=7)*((MOVIMIENTOS!$C$5:$C$10004="Gasto")+(MOVIMIENTOS!$C$5:$C$10004="Compra"))*MOVIMIENTOS!$N$5:$N$10004)</f>
        <v/>
      </c>
      <c r="E11" s="42">
        <f>SUMPRODUCT((YEAR(MOVIMIENTOS!$B$5:$B$10004)=$B$3)*(MONTH(MOVIMIENTOS!$B$5:$B$10004)=7)*((MOVIMIENTOS!$C$5:$C$10004="Ingreso")+(MOVIMIENTOS!$C$5:$C$10004="Venta"))*MOVIMIENTOS!$N$5:$N$10004)</f>
        <v/>
      </c>
    </row>
    <row r="12">
      <c r="A12" t="inlineStr">
        <is>
          <t>Agosto</t>
        </is>
      </c>
      <c r="B12" s="42">
        <f>SUMPRODUCT((YEAR(MOVIMIENTOS!$B$5:$B$10004)=$B$3)*(MONTH(MOVIMIENTOS!$B$5:$B$10004)=8)*((MOVIMIENTOS!$C$5:$C$10004="Ingreso")+(MOVIMIENTOS!$C$5:$C$10004="Venta"))*MOVIMIENTOS!$M$5:$M$10004)</f>
        <v/>
      </c>
      <c r="C12" s="42">
        <f>SUMPRODUCT((YEAR(MOVIMIENTOS!$B$5:$B$10004)=$B$3)*(MONTH(MOVIMIENTOS!$B$5:$B$10004)=8)*((MOVIMIENTOS!$C$5:$C$10004="Gasto")+(MOVIMIENTOS!$C$5:$C$10004="Compra"))*MOVIMIENTOS!$M$5:$M$10004)</f>
        <v/>
      </c>
      <c r="D12" s="42">
        <f>SUMPRODUCT((YEAR(MOVIMIENTOS!$B$5:$B$10004)=$B$3)*(MONTH(MOVIMIENTOS!$B$5:$B$10004)=8)*((MOVIMIENTOS!$C$5:$C$10004="Gasto")+(MOVIMIENTOS!$C$5:$C$10004="Compra"))*MOVIMIENTOS!$N$5:$N$10004)</f>
        <v/>
      </c>
      <c r="E12" s="42">
        <f>SUMPRODUCT((YEAR(MOVIMIENTOS!$B$5:$B$10004)=$B$3)*(MONTH(MOVIMIENTOS!$B$5:$B$10004)=8)*((MOVIMIENTOS!$C$5:$C$10004="Ingreso")+(MOVIMIENTOS!$C$5:$C$10004="Venta"))*MOVIMIENTOS!$N$5:$N$10004)</f>
        <v/>
      </c>
    </row>
    <row r="13">
      <c r="A13" t="inlineStr">
        <is>
          <t>Septiembre</t>
        </is>
      </c>
      <c r="B13" s="42">
        <f>SUMPRODUCT((YEAR(MOVIMIENTOS!$B$5:$B$10004)=$B$3)*(MONTH(MOVIMIENTOS!$B$5:$B$10004)=9)*((MOVIMIENTOS!$C$5:$C$10004="Ingreso")+(MOVIMIENTOS!$C$5:$C$10004="Venta"))*MOVIMIENTOS!$M$5:$M$10004)</f>
        <v/>
      </c>
      <c r="C13" s="42">
        <f>SUMPRODUCT((YEAR(MOVIMIENTOS!$B$5:$B$10004)=$B$3)*(MONTH(MOVIMIENTOS!$B$5:$B$10004)=9)*((MOVIMIENTOS!$C$5:$C$10004="Gasto")+(MOVIMIENTOS!$C$5:$C$10004="Compra"))*MOVIMIENTOS!$M$5:$M$10004)</f>
        <v/>
      </c>
      <c r="D13" s="42">
        <f>SUMPRODUCT((YEAR(MOVIMIENTOS!$B$5:$B$10004)=$B$3)*(MONTH(MOVIMIENTOS!$B$5:$B$10004)=9)*((MOVIMIENTOS!$C$5:$C$10004="Gasto")+(MOVIMIENTOS!$C$5:$C$10004="Compra"))*MOVIMIENTOS!$N$5:$N$10004)</f>
        <v/>
      </c>
      <c r="E13" s="42">
        <f>SUMPRODUCT((YEAR(MOVIMIENTOS!$B$5:$B$10004)=$B$3)*(MONTH(MOVIMIENTOS!$B$5:$B$10004)=9)*((MOVIMIENTOS!$C$5:$C$10004="Ingreso")+(MOVIMIENTOS!$C$5:$C$10004="Venta"))*MOVIMIENTOS!$N$5:$N$10004)</f>
        <v/>
      </c>
    </row>
    <row r="14">
      <c r="A14" t="inlineStr">
        <is>
          <t>Octubre</t>
        </is>
      </c>
      <c r="B14" s="42">
        <f>SUMPRODUCT((YEAR(MOVIMIENTOS!$B$5:$B$10004)=$B$3)*(MONTH(MOVIMIENTOS!$B$5:$B$10004)=10)*((MOVIMIENTOS!$C$5:$C$10004="Ingreso")+(MOVIMIENTOS!$C$5:$C$10004="Venta"))*MOVIMIENTOS!$M$5:$M$10004)</f>
        <v/>
      </c>
      <c r="C14" s="42">
        <f>SUMPRODUCT((YEAR(MOVIMIENTOS!$B$5:$B$10004)=$B$3)*(MONTH(MOVIMIENTOS!$B$5:$B$10004)=10)*((MOVIMIENTOS!$C$5:$C$10004="Gasto")+(MOVIMIENTOS!$C$5:$C$10004="Compra"))*MOVIMIENTOS!$M$5:$M$10004)</f>
        <v/>
      </c>
      <c r="D14" s="42">
        <f>SUMPRODUCT((YEAR(MOVIMIENTOS!$B$5:$B$10004)=$B$3)*(MONTH(MOVIMIENTOS!$B$5:$B$10004)=10)*((MOVIMIENTOS!$C$5:$C$10004="Gasto")+(MOVIMIENTOS!$C$5:$C$10004="Compra"))*MOVIMIENTOS!$N$5:$N$10004)</f>
        <v/>
      </c>
      <c r="E14" s="42">
        <f>SUMPRODUCT((YEAR(MOVIMIENTOS!$B$5:$B$10004)=$B$3)*(MONTH(MOVIMIENTOS!$B$5:$B$10004)=10)*((MOVIMIENTOS!$C$5:$C$10004="Ingreso")+(MOVIMIENTOS!$C$5:$C$10004="Venta"))*MOVIMIENTOS!$N$5:$N$10004)</f>
        <v/>
      </c>
    </row>
    <row r="15">
      <c r="A15" t="inlineStr">
        <is>
          <t>Noviembre</t>
        </is>
      </c>
      <c r="B15" s="42">
        <f>SUMPRODUCT((YEAR(MOVIMIENTOS!$B$5:$B$10004)=$B$3)*(MONTH(MOVIMIENTOS!$B$5:$B$10004)=11)*((MOVIMIENTOS!$C$5:$C$10004="Ingreso")+(MOVIMIENTOS!$C$5:$C$10004="Venta"))*MOVIMIENTOS!$M$5:$M$10004)</f>
        <v/>
      </c>
      <c r="C15" s="42">
        <f>SUMPRODUCT((YEAR(MOVIMIENTOS!$B$5:$B$10004)=$B$3)*(MONTH(MOVIMIENTOS!$B$5:$B$10004)=11)*((MOVIMIENTOS!$C$5:$C$10004="Gasto")+(MOVIMIENTOS!$C$5:$C$10004="Compra"))*MOVIMIENTOS!$M$5:$M$10004)</f>
        <v/>
      </c>
      <c r="D15" s="42">
        <f>SUMPRODUCT((YEAR(MOVIMIENTOS!$B$5:$B$10004)=$B$3)*(MONTH(MOVIMIENTOS!$B$5:$B$10004)=11)*((MOVIMIENTOS!$C$5:$C$10004="Gasto")+(MOVIMIENTOS!$C$5:$C$10004="Compra"))*MOVIMIENTOS!$N$5:$N$10004)</f>
        <v/>
      </c>
      <c r="E15" s="42">
        <f>SUMPRODUCT((YEAR(MOVIMIENTOS!$B$5:$B$10004)=$B$3)*(MONTH(MOVIMIENTOS!$B$5:$B$10004)=11)*((MOVIMIENTOS!$C$5:$C$10004="Ingreso")+(MOVIMIENTOS!$C$5:$C$10004="Venta"))*MOVIMIENTOS!$N$5:$N$10004)</f>
        <v/>
      </c>
    </row>
    <row r="16">
      <c r="A16" t="inlineStr">
        <is>
          <t>Diciembre</t>
        </is>
      </c>
      <c r="B16" s="42">
        <f>SUMPRODUCT((YEAR(MOVIMIENTOS!$B$5:$B$10004)=$B$3)*(MONTH(MOVIMIENTOS!$B$5:$B$10004)=12)*((MOVIMIENTOS!$C$5:$C$10004="Ingreso")+(MOVIMIENTOS!$C$5:$C$10004="Venta"))*MOVIMIENTOS!$M$5:$M$10004)</f>
        <v/>
      </c>
      <c r="C16" s="42">
        <f>SUMPRODUCT((YEAR(MOVIMIENTOS!$B$5:$B$10004)=$B$3)*(MONTH(MOVIMIENTOS!$B$5:$B$10004)=12)*((MOVIMIENTOS!$C$5:$C$10004="Gasto")+(MOVIMIENTOS!$C$5:$C$10004="Compra"))*MOVIMIENTOS!$M$5:$M$10004)</f>
        <v/>
      </c>
      <c r="D16" s="42">
        <f>SUMPRODUCT((YEAR(MOVIMIENTOS!$B$5:$B$10004)=$B$3)*(MONTH(MOVIMIENTOS!$B$5:$B$10004)=12)*((MOVIMIENTOS!$C$5:$C$10004="Gasto")+(MOVIMIENTOS!$C$5:$C$10004="Compra"))*MOVIMIENTOS!$N$5:$N$10004)</f>
        <v/>
      </c>
      <c r="E16" s="42">
        <f>SUMPRODUCT((YEAR(MOVIMIENTOS!$B$5:$B$10004)=$B$3)*(MONTH(MOVIMIENTOS!$B$5:$B$10004)=12)*((MOVIMIENTOS!$C$5:$C$10004="Ingreso")+(MOVIMIENTOS!$C$5:$C$10004="Venta"))*MOVIMIENTOS!$N$5:$N$10004)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B7791F"/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9.140625" defaultRowHeight="15"/>
  <cols>
    <col width="12" customWidth="1" style="33" min="1" max="1"/>
    <col width="14" customWidth="1" style="33" min="2" max="2"/>
    <col width="12" customWidth="1" style="33" min="3" max="3"/>
    <col width="15" customWidth="1" style="33" min="4" max="4"/>
    <col width="22" customWidth="1" style="33" min="5" max="6"/>
  </cols>
  <sheetData>
    <row r="1" ht="21" customHeight="1" s="33">
      <c r="A1" s="1" t="inlineStr">
        <is>
          <t>REPORTE_MENSUAL</t>
        </is>
      </c>
    </row>
    <row r="2">
      <c r="A2" s="2" t="inlineStr">
        <is>
          <t>Resumen ejecutivo del periodo - ingresos, gastos y resultado</t>
        </is>
      </c>
    </row>
    <row r="3">
      <c r="A3" t="inlineStr">
        <is>
          <t>Año del reporte</t>
        </is>
      </c>
      <c r="B3" s="29" t="n">
        <v>2026</v>
      </c>
    </row>
    <row r="4" ht="27.95" customHeight="1" s="33">
      <c r="A4" s="30" t="inlineStr">
        <is>
          <t>MES</t>
        </is>
      </c>
      <c r="B4" s="30" t="inlineStr">
        <is>
          <t>Ingresos</t>
        </is>
      </c>
      <c r="C4" s="30" t="inlineStr">
        <is>
          <t>Gastos</t>
        </is>
      </c>
      <c r="D4" s="30" t="inlineStr">
        <is>
          <t>Resultado</t>
        </is>
      </c>
      <c r="E4" s="30" t="inlineStr">
        <is>
          <t>Documentos Validados</t>
        </is>
      </c>
      <c r="F4" s="30" t="inlineStr">
        <is>
          <t>Documentos con Error</t>
        </is>
      </c>
    </row>
    <row r="5">
      <c r="A5" t="inlineStr">
        <is>
          <t>Enero</t>
        </is>
      </c>
      <c r="B5" s="42">
        <f>SUMPRODUCT(((YEAR(MOVIMIENTOS!$B$5:$B$10004)=$B$3)*(MONTH(MOVIMIENTOS!$B$5:$B$10004)=1))*((MOVIMIENTOS!$C$5:$C$10004="Ingreso")+(MOVIMIENTOS!$C$5:$C$10004="Venta"))*(MOVIMIENTOS!$P$5:$P$10004="Pagado")*MOVIMIENTOS!$O$5:$O$10004)</f>
        <v/>
      </c>
      <c r="C5" s="42">
        <f>SUMPRODUCT(((YEAR(MOVIMIENTOS!$B$5:$B$10004)=$B$3)*(MONTH(MOVIMIENTOS!$B$5:$B$10004)=1))*((MOVIMIENTOS!$C$5:$C$10004="Gasto")+(MOVIMIENTOS!$C$5:$C$10004="Compra"))*(MOVIMIENTOS!$P$5:$P$10004="Pagado")*MOVIMIENTOS!$O$5:$O$10004)</f>
        <v/>
      </c>
      <c r="D5" s="42">
        <f>B5-C5</f>
        <v/>
      </c>
      <c r="E5">
        <f>SUMPRODUCT(((YEAR(DOCUMENTOS!$B$5:$B$10004)=$B$3)*(MONTH(DOCUMENTOS!$B$5:$B$10004)=1))*(DOCUMENTOS!$L$5:$L$10004="Validado"))</f>
        <v/>
      </c>
      <c r="F5">
        <f>SUMPRODUCT(((YEAR(DOCUMENTOS!$B$5:$B$10004)=$B$3)*(MONTH(DOCUMENTOS!$B$5:$B$10004)=1))*(DOCUMENTOS!$L$5:$L$10004="Error"))</f>
        <v/>
      </c>
    </row>
    <row r="6">
      <c r="A6" t="inlineStr">
        <is>
          <t>Febrero</t>
        </is>
      </c>
      <c r="B6" s="42">
        <f>SUMPRODUCT(((YEAR(MOVIMIENTOS!$B$5:$B$10004)=$B$3)*(MONTH(MOVIMIENTOS!$B$5:$B$10004)=2))*((MOVIMIENTOS!$C$5:$C$10004="Ingreso")+(MOVIMIENTOS!$C$5:$C$10004="Venta"))*(MOVIMIENTOS!$P$5:$P$10004="Pagado")*MOVIMIENTOS!$O$5:$O$10004)</f>
        <v/>
      </c>
      <c r="C6" s="42">
        <f>SUMPRODUCT(((YEAR(MOVIMIENTOS!$B$5:$B$10004)=$B$3)*(MONTH(MOVIMIENTOS!$B$5:$B$10004)=2))*((MOVIMIENTOS!$C$5:$C$10004="Gasto")+(MOVIMIENTOS!$C$5:$C$10004="Compra"))*(MOVIMIENTOS!$P$5:$P$10004="Pagado")*MOVIMIENTOS!$O$5:$O$10004)</f>
        <v/>
      </c>
      <c r="D6" s="42">
        <f>B6-C6</f>
        <v/>
      </c>
      <c r="E6">
        <f>SUMPRODUCT(((YEAR(DOCUMENTOS!$B$5:$B$10004)=$B$3)*(MONTH(DOCUMENTOS!$B$5:$B$10004)=2))*(DOCUMENTOS!$L$5:$L$10004="Validado"))</f>
        <v/>
      </c>
      <c r="F6">
        <f>SUMPRODUCT(((YEAR(DOCUMENTOS!$B$5:$B$10004)=$B$3)*(MONTH(DOCUMENTOS!$B$5:$B$10004)=2))*(DOCUMENTOS!$L$5:$L$10004="Error"))</f>
        <v/>
      </c>
    </row>
    <row r="7">
      <c r="A7" t="inlineStr">
        <is>
          <t>Marzo</t>
        </is>
      </c>
      <c r="B7" s="42">
        <f>SUMPRODUCT(((YEAR(MOVIMIENTOS!$B$5:$B$10004)=$B$3)*(MONTH(MOVIMIENTOS!$B$5:$B$10004)=3))*((MOVIMIENTOS!$C$5:$C$10004="Ingreso")+(MOVIMIENTOS!$C$5:$C$10004="Venta"))*(MOVIMIENTOS!$P$5:$P$10004="Pagado")*MOVIMIENTOS!$O$5:$O$10004)</f>
        <v/>
      </c>
      <c r="C7" s="42">
        <f>SUMPRODUCT(((YEAR(MOVIMIENTOS!$B$5:$B$10004)=$B$3)*(MONTH(MOVIMIENTOS!$B$5:$B$10004)=3))*((MOVIMIENTOS!$C$5:$C$10004="Gasto")+(MOVIMIENTOS!$C$5:$C$10004="Compra"))*(MOVIMIENTOS!$P$5:$P$10004="Pagado")*MOVIMIENTOS!$O$5:$O$10004)</f>
        <v/>
      </c>
      <c r="D7" s="42">
        <f>B7-C7</f>
        <v/>
      </c>
      <c r="E7">
        <f>SUMPRODUCT(((YEAR(DOCUMENTOS!$B$5:$B$10004)=$B$3)*(MONTH(DOCUMENTOS!$B$5:$B$10004)=3))*(DOCUMENTOS!$L$5:$L$10004="Validado"))</f>
        <v/>
      </c>
      <c r="F7">
        <f>SUMPRODUCT(((YEAR(DOCUMENTOS!$B$5:$B$10004)=$B$3)*(MONTH(DOCUMENTOS!$B$5:$B$10004)=3))*(DOCUMENTOS!$L$5:$L$10004="Error"))</f>
        <v/>
      </c>
    </row>
    <row r="8">
      <c r="A8" t="inlineStr">
        <is>
          <t>Abril</t>
        </is>
      </c>
      <c r="B8" s="42">
        <f>SUMPRODUCT(((YEAR(MOVIMIENTOS!$B$5:$B$10004)=$B$3)*(MONTH(MOVIMIENTOS!$B$5:$B$10004)=4))*((MOVIMIENTOS!$C$5:$C$10004="Ingreso")+(MOVIMIENTOS!$C$5:$C$10004="Venta"))*(MOVIMIENTOS!$P$5:$P$10004="Pagado")*MOVIMIENTOS!$O$5:$O$10004)</f>
        <v/>
      </c>
      <c r="C8" s="42">
        <f>SUMPRODUCT(((YEAR(MOVIMIENTOS!$B$5:$B$10004)=$B$3)*(MONTH(MOVIMIENTOS!$B$5:$B$10004)=4))*((MOVIMIENTOS!$C$5:$C$10004="Gasto")+(MOVIMIENTOS!$C$5:$C$10004="Compra"))*(MOVIMIENTOS!$P$5:$P$10004="Pagado")*MOVIMIENTOS!$O$5:$O$10004)</f>
        <v/>
      </c>
      <c r="D8" s="42">
        <f>B8-C8</f>
        <v/>
      </c>
      <c r="E8">
        <f>SUMPRODUCT(((YEAR(DOCUMENTOS!$B$5:$B$10004)=$B$3)*(MONTH(DOCUMENTOS!$B$5:$B$10004)=4))*(DOCUMENTOS!$L$5:$L$10004="Validado"))</f>
        <v/>
      </c>
      <c r="F8">
        <f>SUMPRODUCT(((YEAR(DOCUMENTOS!$B$5:$B$10004)=$B$3)*(MONTH(DOCUMENTOS!$B$5:$B$10004)=4))*(DOCUMENTOS!$L$5:$L$10004="Error"))</f>
        <v/>
      </c>
    </row>
    <row r="9">
      <c r="A9" t="inlineStr">
        <is>
          <t>Mayo</t>
        </is>
      </c>
      <c r="B9" s="42">
        <f>SUMPRODUCT(((YEAR(MOVIMIENTOS!$B$5:$B$10004)=$B$3)*(MONTH(MOVIMIENTOS!$B$5:$B$10004)=5))*((MOVIMIENTOS!$C$5:$C$10004="Ingreso")+(MOVIMIENTOS!$C$5:$C$10004="Venta"))*(MOVIMIENTOS!$P$5:$P$10004="Pagado")*MOVIMIENTOS!$O$5:$O$10004)</f>
        <v/>
      </c>
      <c r="C9" s="42">
        <f>SUMPRODUCT(((YEAR(MOVIMIENTOS!$B$5:$B$10004)=$B$3)*(MONTH(MOVIMIENTOS!$B$5:$B$10004)=5))*((MOVIMIENTOS!$C$5:$C$10004="Gasto")+(MOVIMIENTOS!$C$5:$C$10004="Compra"))*(MOVIMIENTOS!$P$5:$P$10004="Pagado")*MOVIMIENTOS!$O$5:$O$10004)</f>
        <v/>
      </c>
      <c r="D9" s="42">
        <f>B9-C9</f>
        <v/>
      </c>
      <c r="E9">
        <f>SUMPRODUCT(((YEAR(DOCUMENTOS!$B$5:$B$10004)=$B$3)*(MONTH(DOCUMENTOS!$B$5:$B$10004)=5))*(DOCUMENTOS!$L$5:$L$10004="Validado"))</f>
        <v/>
      </c>
      <c r="F9">
        <f>SUMPRODUCT(((YEAR(DOCUMENTOS!$B$5:$B$10004)=$B$3)*(MONTH(DOCUMENTOS!$B$5:$B$10004)=5))*(DOCUMENTOS!$L$5:$L$10004="Error"))</f>
        <v/>
      </c>
    </row>
    <row r="10">
      <c r="A10" t="inlineStr">
        <is>
          <t>Junio</t>
        </is>
      </c>
      <c r="B10" s="42">
        <f>SUMPRODUCT(((YEAR(MOVIMIENTOS!$B$5:$B$10004)=$B$3)*(MONTH(MOVIMIENTOS!$B$5:$B$10004)=6))*((MOVIMIENTOS!$C$5:$C$10004="Ingreso")+(MOVIMIENTOS!$C$5:$C$10004="Venta"))*(MOVIMIENTOS!$P$5:$P$10004="Pagado")*MOVIMIENTOS!$O$5:$O$10004)</f>
        <v/>
      </c>
      <c r="C10" s="42">
        <f>SUMPRODUCT(((YEAR(MOVIMIENTOS!$B$5:$B$10004)=$B$3)*(MONTH(MOVIMIENTOS!$B$5:$B$10004)=6))*((MOVIMIENTOS!$C$5:$C$10004="Gasto")+(MOVIMIENTOS!$C$5:$C$10004="Compra"))*(MOVIMIENTOS!$P$5:$P$10004="Pagado")*MOVIMIENTOS!$O$5:$O$10004)</f>
        <v/>
      </c>
      <c r="D10" s="42">
        <f>B10-C10</f>
        <v/>
      </c>
      <c r="E10">
        <f>SUMPRODUCT(((YEAR(DOCUMENTOS!$B$5:$B$10004)=$B$3)*(MONTH(DOCUMENTOS!$B$5:$B$10004)=6))*(DOCUMENTOS!$L$5:$L$10004="Validado"))</f>
        <v/>
      </c>
      <c r="F10">
        <f>SUMPRODUCT(((YEAR(DOCUMENTOS!$B$5:$B$10004)=$B$3)*(MONTH(DOCUMENTOS!$B$5:$B$10004)=6))*(DOCUMENTOS!$L$5:$L$10004="Error"))</f>
        <v/>
      </c>
    </row>
    <row r="11">
      <c r="A11" t="inlineStr">
        <is>
          <t>Julio</t>
        </is>
      </c>
      <c r="B11" s="42">
        <f>SUMPRODUCT(((YEAR(MOVIMIENTOS!$B$5:$B$10004)=$B$3)*(MONTH(MOVIMIENTOS!$B$5:$B$10004)=7))*((MOVIMIENTOS!$C$5:$C$10004="Ingreso")+(MOVIMIENTOS!$C$5:$C$10004="Venta"))*(MOVIMIENTOS!$P$5:$P$10004="Pagado")*MOVIMIENTOS!$O$5:$O$10004)</f>
        <v/>
      </c>
      <c r="C11" s="42">
        <f>SUMPRODUCT(((YEAR(MOVIMIENTOS!$B$5:$B$10004)=$B$3)*(MONTH(MOVIMIENTOS!$B$5:$B$10004)=7))*((MOVIMIENTOS!$C$5:$C$10004="Gasto")+(MOVIMIENTOS!$C$5:$C$10004="Compra"))*(MOVIMIENTOS!$P$5:$P$10004="Pagado")*MOVIMIENTOS!$O$5:$O$10004)</f>
        <v/>
      </c>
      <c r="D11" s="42">
        <f>B11-C11</f>
        <v/>
      </c>
      <c r="E11">
        <f>SUMPRODUCT(((YEAR(DOCUMENTOS!$B$5:$B$10004)=$B$3)*(MONTH(DOCUMENTOS!$B$5:$B$10004)=7))*(DOCUMENTOS!$L$5:$L$10004="Validado"))</f>
        <v/>
      </c>
      <c r="F11">
        <f>SUMPRODUCT(((YEAR(DOCUMENTOS!$B$5:$B$10004)=$B$3)*(MONTH(DOCUMENTOS!$B$5:$B$10004)=7))*(DOCUMENTOS!$L$5:$L$10004="Error"))</f>
        <v/>
      </c>
    </row>
    <row r="12">
      <c r="A12" t="inlineStr">
        <is>
          <t>Agosto</t>
        </is>
      </c>
      <c r="B12" s="42">
        <f>SUMPRODUCT(((YEAR(MOVIMIENTOS!$B$5:$B$10004)=$B$3)*(MONTH(MOVIMIENTOS!$B$5:$B$10004)=8))*((MOVIMIENTOS!$C$5:$C$10004="Ingreso")+(MOVIMIENTOS!$C$5:$C$10004="Venta"))*(MOVIMIENTOS!$P$5:$P$10004="Pagado")*MOVIMIENTOS!$O$5:$O$10004)</f>
        <v/>
      </c>
      <c r="C12" s="42">
        <f>SUMPRODUCT(((YEAR(MOVIMIENTOS!$B$5:$B$10004)=$B$3)*(MONTH(MOVIMIENTOS!$B$5:$B$10004)=8))*((MOVIMIENTOS!$C$5:$C$10004="Gasto")+(MOVIMIENTOS!$C$5:$C$10004="Compra"))*(MOVIMIENTOS!$P$5:$P$10004="Pagado")*MOVIMIENTOS!$O$5:$O$10004)</f>
        <v/>
      </c>
      <c r="D12" s="42">
        <f>B12-C12</f>
        <v/>
      </c>
      <c r="E12">
        <f>SUMPRODUCT(((YEAR(DOCUMENTOS!$B$5:$B$10004)=$B$3)*(MONTH(DOCUMENTOS!$B$5:$B$10004)=8))*(DOCUMENTOS!$L$5:$L$10004="Validado"))</f>
        <v/>
      </c>
      <c r="F12">
        <f>SUMPRODUCT(((YEAR(DOCUMENTOS!$B$5:$B$10004)=$B$3)*(MONTH(DOCUMENTOS!$B$5:$B$10004)=8))*(DOCUMENTOS!$L$5:$L$10004="Error"))</f>
        <v/>
      </c>
    </row>
    <row r="13">
      <c r="A13" t="inlineStr">
        <is>
          <t>Septiembre</t>
        </is>
      </c>
      <c r="B13" s="42">
        <f>SUMPRODUCT(((YEAR(MOVIMIENTOS!$B$5:$B$10004)=$B$3)*(MONTH(MOVIMIENTOS!$B$5:$B$10004)=9))*((MOVIMIENTOS!$C$5:$C$10004="Ingreso")+(MOVIMIENTOS!$C$5:$C$10004="Venta"))*(MOVIMIENTOS!$P$5:$P$10004="Pagado")*MOVIMIENTOS!$O$5:$O$10004)</f>
        <v/>
      </c>
      <c r="C13" s="42">
        <f>SUMPRODUCT(((YEAR(MOVIMIENTOS!$B$5:$B$10004)=$B$3)*(MONTH(MOVIMIENTOS!$B$5:$B$10004)=9))*((MOVIMIENTOS!$C$5:$C$10004="Gasto")+(MOVIMIENTOS!$C$5:$C$10004="Compra"))*(MOVIMIENTOS!$P$5:$P$10004="Pagado")*MOVIMIENTOS!$O$5:$O$10004)</f>
        <v/>
      </c>
      <c r="D13" s="42">
        <f>B13-C13</f>
        <v/>
      </c>
      <c r="E13">
        <f>SUMPRODUCT(((YEAR(DOCUMENTOS!$B$5:$B$10004)=$B$3)*(MONTH(DOCUMENTOS!$B$5:$B$10004)=9))*(DOCUMENTOS!$L$5:$L$10004="Validado"))</f>
        <v/>
      </c>
      <c r="F13">
        <f>SUMPRODUCT(((YEAR(DOCUMENTOS!$B$5:$B$10004)=$B$3)*(MONTH(DOCUMENTOS!$B$5:$B$10004)=9))*(DOCUMENTOS!$L$5:$L$10004="Error"))</f>
        <v/>
      </c>
    </row>
    <row r="14">
      <c r="A14" t="inlineStr">
        <is>
          <t>Octubre</t>
        </is>
      </c>
      <c r="B14" s="42">
        <f>SUMPRODUCT(((YEAR(MOVIMIENTOS!$B$5:$B$10004)=$B$3)*(MONTH(MOVIMIENTOS!$B$5:$B$10004)=10))*((MOVIMIENTOS!$C$5:$C$10004="Ingreso")+(MOVIMIENTOS!$C$5:$C$10004="Venta"))*(MOVIMIENTOS!$P$5:$P$10004="Pagado")*MOVIMIENTOS!$O$5:$O$10004)</f>
        <v/>
      </c>
      <c r="C14" s="42">
        <f>SUMPRODUCT(((YEAR(MOVIMIENTOS!$B$5:$B$10004)=$B$3)*(MONTH(MOVIMIENTOS!$B$5:$B$10004)=10))*((MOVIMIENTOS!$C$5:$C$10004="Gasto")+(MOVIMIENTOS!$C$5:$C$10004="Compra"))*(MOVIMIENTOS!$P$5:$P$10004="Pagado")*MOVIMIENTOS!$O$5:$O$10004)</f>
        <v/>
      </c>
      <c r="D14" s="42">
        <f>B14-C14</f>
        <v/>
      </c>
      <c r="E14">
        <f>SUMPRODUCT(((YEAR(DOCUMENTOS!$B$5:$B$10004)=$B$3)*(MONTH(DOCUMENTOS!$B$5:$B$10004)=10))*(DOCUMENTOS!$L$5:$L$10004="Validado"))</f>
        <v/>
      </c>
      <c r="F14">
        <f>SUMPRODUCT(((YEAR(DOCUMENTOS!$B$5:$B$10004)=$B$3)*(MONTH(DOCUMENTOS!$B$5:$B$10004)=10))*(DOCUMENTOS!$L$5:$L$10004="Error"))</f>
        <v/>
      </c>
    </row>
    <row r="15">
      <c r="A15" t="inlineStr">
        <is>
          <t>Noviembre</t>
        </is>
      </c>
      <c r="B15" s="42">
        <f>SUMPRODUCT(((YEAR(MOVIMIENTOS!$B$5:$B$10004)=$B$3)*(MONTH(MOVIMIENTOS!$B$5:$B$10004)=11))*((MOVIMIENTOS!$C$5:$C$10004="Ingreso")+(MOVIMIENTOS!$C$5:$C$10004="Venta"))*(MOVIMIENTOS!$P$5:$P$10004="Pagado")*MOVIMIENTOS!$O$5:$O$10004)</f>
        <v/>
      </c>
      <c r="C15" s="42">
        <f>SUMPRODUCT(((YEAR(MOVIMIENTOS!$B$5:$B$10004)=$B$3)*(MONTH(MOVIMIENTOS!$B$5:$B$10004)=11))*((MOVIMIENTOS!$C$5:$C$10004="Gasto")+(MOVIMIENTOS!$C$5:$C$10004="Compra"))*(MOVIMIENTOS!$P$5:$P$10004="Pagado")*MOVIMIENTOS!$O$5:$O$10004)</f>
        <v/>
      </c>
      <c r="D15" s="42">
        <f>B15-C15</f>
        <v/>
      </c>
      <c r="E15">
        <f>SUMPRODUCT(((YEAR(DOCUMENTOS!$B$5:$B$10004)=$B$3)*(MONTH(DOCUMENTOS!$B$5:$B$10004)=11))*(DOCUMENTOS!$L$5:$L$10004="Validado"))</f>
        <v/>
      </c>
      <c r="F15">
        <f>SUMPRODUCT(((YEAR(DOCUMENTOS!$B$5:$B$10004)=$B$3)*(MONTH(DOCUMENTOS!$B$5:$B$10004)=11))*(DOCUMENTOS!$L$5:$L$10004="Error"))</f>
        <v/>
      </c>
    </row>
    <row r="16">
      <c r="A16" t="inlineStr">
        <is>
          <t>Diciembre</t>
        </is>
      </c>
      <c r="B16" s="42">
        <f>SUMPRODUCT(((YEAR(MOVIMIENTOS!$B$5:$B$10004)=$B$3)*(MONTH(MOVIMIENTOS!$B$5:$B$10004)=12))*((MOVIMIENTOS!$C$5:$C$10004="Ingreso")+(MOVIMIENTOS!$C$5:$C$10004="Venta"))*(MOVIMIENTOS!$P$5:$P$10004="Pagado")*MOVIMIENTOS!$O$5:$O$10004)</f>
        <v/>
      </c>
      <c r="C16" s="42">
        <f>SUMPRODUCT(((YEAR(MOVIMIENTOS!$B$5:$B$10004)=$B$3)*(MONTH(MOVIMIENTOS!$B$5:$B$10004)=12))*((MOVIMIENTOS!$C$5:$C$10004="Gasto")+(MOVIMIENTOS!$C$5:$C$10004="Compra"))*(MOVIMIENTOS!$P$5:$P$10004="Pagado")*MOVIMIENTOS!$O$5:$O$10004)</f>
        <v/>
      </c>
      <c r="D16" s="42">
        <f>B16-C16</f>
        <v/>
      </c>
      <c r="E16">
        <f>SUMPRODUCT(((YEAR(DOCUMENTOS!$B$5:$B$10004)=$B$3)*(MONTH(DOCUMENTOS!$B$5:$B$10004)=12))*(DOCUMENTOS!$L$5:$L$10004="Validado"))</f>
        <v/>
      </c>
      <c r="F16">
        <f>SUMPRODUCT(((YEAR(DOCUMENTOS!$B$5:$B$10004)=$B$3)*(MONTH(DOCUMENTOS!$B$5:$B$10004)=12))*(DOCUMENTOS!$L$5:$L$10004="Error"))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B7791F"/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9.140625" defaultRowHeight="15"/>
  <cols>
    <col width="12" customWidth="1" style="33" min="1" max="1"/>
    <col width="14" customWidth="1" style="33" min="2" max="2"/>
    <col width="12" customWidth="1" style="33" min="3" max="3"/>
    <col width="15" customWidth="1" style="33" min="4" max="4"/>
    <col width="22" customWidth="1" style="33" min="5" max="6"/>
  </cols>
  <sheetData>
    <row r="1" ht="21" customHeight="1" s="33">
      <c r="A1" s="1" t="inlineStr">
        <is>
          <t>REPORTE_ANUAL</t>
        </is>
      </c>
    </row>
    <row r="2">
      <c r="A2" s="2" t="inlineStr">
        <is>
          <t>Resumen ejecutivo del periodo - ingresos, gastos y resultado</t>
        </is>
      </c>
    </row>
    <row r="3">
      <c r="A3" t="inlineStr">
        <is>
          <t>Año inicial del rango</t>
        </is>
      </c>
      <c r="B3" s="29" t="n">
        <v>2026</v>
      </c>
    </row>
    <row r="4" ht="27.95" customHeight="1" s="33">
      <c r="A4" s="30" t="inlineStr">
        <is>
          <t>ANIO</t>
        </is>
      </c>
      <c r="B4" s="30" t="inlineStr">
        <is>
          <t>Ingresos</t>
        </is>
      </c>
      <c r="C4" s="30" t="inlineStr">
        <is>
          <t>Gastos</t>
        </is>
      </c>
      <c r="D4" s="30" t="inlineStr">
        <is>
          <t>Resultado</t>
        </is>
      </c>
      <c r="E4" s="30" t="inlineStr">
        <is>
          <t>Documentos Validados</t>
        </is>
      </c>
      <c r="F4" s="30" t="inlineStr">
        <is>
          <t>Documentos con Error</t>
        </is>
      </c>
    </row>
    <row r="5">
      <c r="A5">
        <f>$B$3+0</f>
        <v/>
      </c>
      <c r="B5" s="42">
        <f>SUMPRODUCT((YEAR(MOVIMIENTOS!$B$5:$B$10004)=A5)*((MOVIMIENTOS!$C$5:$C$10004="Ingreso")+(MOVIMIENTOS!$C$5:$C$10004="Venta"))*(MOVIMIENTOS!$P$5:$P$10004="Pagado")*MOVIMIENTOS!$O$5:$O$10004)</f>
        <v/>
      </c>
      <c r="C5" s="42">
        <f>SUMPRODUCT((YEAR(MOVIMIENTOS!$B$5:$B$10004)=A5)*((MOVIMIENTOS!$C$5:$C$10004="Gasto")+(MOVIMIENTOS!$C$5:$C$10004="Compra"))*(MOVIMIENTOS!$P$5:$P$10004="Pagado")*MOVIMIENTOS!$O$5:$O$10004)</f>
        <v/>
      </c>
      <c r="D5" s="42">
        <f>B5-C5</f>
        <v/>
      </c>
      <c r="E5">
        <f>SUMPRODUCT((YEAR(DOCUMENTOS!$B$5:$B$10004)=A5)*(DOCUMENTOS!$L$5:$L$10004="Validado"))</f>
        <v/>
      </c>
      <c r="F5">
        <f>SUMPRODUCT((YEAR(DOCUMENTOS!$B$5:$B$10004)=A5)*(DOCUMENTOS!$L$5:$L$10004="Error"))</f>
        <v/>
      </c>
    </row>
    <row r="6">
      <c r="A6">
        <f>$B$3+1</f>
        <v/>
      </c>
      <c r="B6" s="42">
        <f>SUMPRODUCT((YEAR(MOVIMIENTOS!$B$5:$B$10004)=A6)*((MOVIMIENTOS!$C$5:$C$10004="Ingreso")+(MOVIMIENTOS!$C$5:$C$10004="Venta"))*(MOVIMIENTOS!$P$5:$P$10004="Pagado")*MOVIMIENTOS!$O$5:$O$10004)</f>
        <v/>
      </c>
      <c r="C6" s="42">
        <f>SUMPRODUCT((YEAR(MOVIMIENTOS!$B$5:$B$10004)=A6)*((MOVIMIENTOS!$C$5:$C$10004="Gasto")+(MOVIMIENTOS!$C$5:$C$10004="Compra"))*(MOVIMIENTOS!$P$5:$P$10004="Pagado")*MOVIMIENTOS!$O$5:$O$10004)</f>
        <v/>
      </c>
      <c r="D6" s="42">
        <f>B6-C6</f>
        <v/>
      </c>
      <c r="E6">
        <f>SUMPRODUCT((YEAR(DOCUMENTOS!$B$5:$B$10004)=A6)*(DOCUMENTOS!$L$5:$L$10004="Validado"))</f>
        <v/>
      </c>
      <c r="F6">
        <f>SUMPRODUCT((YEAR(DOCUMENTOS!$B$5:$B$10004)=A6)*(DOCUMENTOS!$L$5:$L$10004="Error"))</f>
        <v/>
      </c>
    </row>
    <row r="7">
      <c r="A7">
        <f>$B$3+2</f>
        <v/>
      </c>
      <c r="B7" s="42">
        <f>SUMPRODUCT((YEAR(MOVIMIENTOS!$B$5:$B$10004)=A7)*((MOVIMIENTOS!$C$5:$C$10004="Ingreso")+(MOVIMIENTOS!$C$5:$C$10004="Venta"))*(MOVIMIENTOS!$P$5:$P$10004="Pagado")*MOVIMIENTOS!$O$5:$O$10004)</f>
        <v/>
      </c>
      <c r="C7" s="42">
        <f>SUMPRODUCT((YEAR(MOVIMIENTOS!$B$5:$B$10004)=A7)*((MOVIMIENTOS!$C$5:$C$10004="Gasto")+(MOVIMIENTOS!$C$5:$C$10004="Compra"))*(MOVIMIENTOS!$P$5:$P$10004="Pagado")*MOVIMIENTOS!$O$5:$O$10004)</f>
        <v/>
      </c>
      <c r="D7" s="42">
        <f>B7-C7</f>
        <v/>
      </c>
      <c r="E7">
        <f>SUMPRODUCT((YEAR(DOCUMENTOS!$B$5:$B$10004)=A7)*(DOCUMENTOS!$L$5:$L$10004="Validado"))</f>
        <v/>
      </c>
      <c r="F7">
        <f>SUMPRODUCT((YEAR(DOCUMENTOS!$B$5:$B$10004)=A7)*(DOCUMENTOS!$L$5:$L$10004="Error"))</f>
        <v/>
      </c>
    </row>
    <row r="8">
      <c r="A8">
        <f>$B$3+3</f>
        <v/>
      </c>
      <c r="B8" s="42">
        <f>SUMPRODUCT((YEAR(MOVIMIENTOS!$B$5:$B$10004)=A8)*((MOVIMIENTOS!$C$5:$C$10004="Ingreso")+(MOVIMIENTOS!$C$5:$C$10004="Venta"))*(MOVIMIENTOS!$P$5:$P$10004="Pagado")*MOVIMIENTOS!$O$5:$O$10004)</f>
        <v/>
      </c>
      <c r="C8" s="42">
        <f>SUMPRODUCT((YEAR(MOVIMIENTOS!$B$5:$B$10004)=A8)*((MOVIMIENTOS!$C$5:$C$10004="Gasto")+(MOVIMIENTOS!$C$5:$C$10004="Compra"))*(MOVIMIENTOS!$P$5:$P$10004="Pagado")*MOVIMIENTOS!$O$5:$O$10004)</f>
        <v/>
      </c>
      <c r="D8" s="42">
        <f>B8-C8</f>
        <v/>
      </c>
      <c r="E8">
        <f>SUMPRODUCT((YEAR(DOCUMENTOS!$B$5:$B$10004)=A8)*(DOCUMENTOS!$L$5:$L$10004="Validado"))</f>
        <v/>
      </c>
      <c r="F8">
        <f>SUMPRODUCT((YEAR(DOCUMENTOS!$B$5:$B$10004)=A8)*(DOCUMENTOS!$L$5:$L$10004="Error"))</f>
        <v/>
      </c>
    </row>
    <row r="9">
      <c r="A9">
        <f>$B$3+4</f>
        <v/>
      </c>
      <c r="B9" s="42">
        <f>SUMPRODUCT((YEAR(MOVIMIENTOS!$B$5:$B$10004)=A9)*((MOVIMIENTOS!$C$5:$C$10004="Ingreso")+(MOVIMIENTOS!$C$5:$C$10004="Venta"))*(MOVIMIENTOS!$P$5:$P$10004="Pagado")*MOVIMIENTOS!$O$5:$O$10004)</f>
        <v/>
      </c>
      <c r="C9" s="42">
        <f>SUMPRODUCT((YEAR(MOVIMIENTOS!$B$5:$B$10004)=A9)*((MOVIMIENTOS!$C$5:$C$10004="Gasto")+(MOVIMIENTOS!$C$5:$C$10004="Compra"))*(MOVIMIENTOS!$P$5:$P$10004="Pagado")*MOVIMIENTOS!$O$5:$O$10004)</f>
        <v/>
      </c>
      <c r="D9" s="42">
        <f>B9-C9</f>
        <v/>
      </c>
      <c r="E9">
        <f>SUMPRODUCT((YEAR(DOCUMENTOS!$B$5:$B$10004)=A9)*(DOCUMENTOS!$L$5:$L$10004="Validado"))</f>
        <v/>
      </c>
      <c r="F9">
        <f>SUMPRODUCT((YEAR(DOCUMENTOS!$B$5:$B$10004)=A9)*(DOCUMENTOS!$L$5:$L$10004="Error"))</f>
        <v/>
      </c>
    </row>
    <row r="10">
      <c r="A10">
        <f>$B$3+5</f>
        <v/>
      </c>
      <c r="B10" s="42">
        <f>SUMPRODUCT((YEAR(MOVIMIENTOS!$B$5:$B$10004)=A10)*((MOVIMIENTOS!$C$5:$C$10004="Ingreso")+(MOVIMIENTOS!$C$5:$C$10004="Venta"))*(MOVIMIENTOS!$P$5:$P$10004="Pagado")*MOVIMIENTOS!$O$5:$O$10004)</f>
        <v/>
      </c>
      <c r="C10" s="42">
        <f>SUMPRODUCT((YEAR(MOVIMIENTOS!$B$5:$B$10004)=A10)*((MOVIMIENTOS!$C$5:$C$10004="Gasto")+(MOVIMIENTOS!$C$5:$C$10004="Compra"))*(MOVIMIENTOS!$P$5:$P$10004="Pagado")*MOVIMIENTOS!$O$5:$O$10004)</f>
        <v/>
      </c>
      <c r="D10" s="42">
        <f>B10-C10</f>
        <v/>
      </c>
      <c r="E10">
        <f>SUMPRODUCT((YEAR(DOCUMENTOS!$B$5:$B$10004)=A10)*(DOCUMENTOS!$L$5:$L$10004="Validado"))</f>
        <v/>
      </c>
      <c r="F10">
        <f>SUMPRODUCT((YEAR(DOCUMENTOS!$B$5:$B$10004)=A10)*(DOCUMENTOS!$L$5:$L$10004="Error"))</f>
        <v/>
      </c>
    </row>
    <row r="11">
      <c r="A11">
        <f>$B$3+6</f>
        <v/>
      </c>
      <c r="B11" s="42">
        <f>SUMPRODUCT((YEAR(MOVIMIENTOS!$B$5:$B$10004)=A11)*((MOVIMIENTOS!$C$5:$C$10004="Ingreso")+(MOVIMIENTOS!$C$5:$C$10004="Venta"))*(MOVIMIENTOS!$P$5:$P$10004="Pagado")*MOVIMIENTOS!$O$5:$O$10004)</f>
        <v/>
      </c>
      <c r="C11" s="42">
        <f>SUMPRODUCT((YEAR(MOVIMIENTOS!$B$5:$B$10004)=A11)*((MOVIMIENTOS!$C$5:$C$10004="Gasto")+(MOVIMIENTOS!$C$5:$C$10004="Compra"))*(MOVIMIENTOS!$P$5:$P$10004="Pagado")*MOVIMIENTOS!$O$5:$O$10004)</f>
        <v/>
      </c>
      <c r="D11" s="42">
        <f>B11-C11</f>
        <v/>
      </c>
      <c r="E11">
        <f>SUMPRODUCT((YEAR(DOCUMENTOS!$B$5:$B$10004)=A11)*(DOCUMENTOS!$L$5:$L$10004="Validado"))</f>
        <v/>
      </c>
      <c r="F11">
        <f>SUMPRODUCT((YEAR(DOCUMENTOS!$B$5:$B$10004)=A11)*(DOCUMENTOS!$L$5:$L$10004="Error"))</f>
        <v/>
      </c>
    </row>
    <row r="12">
      <c r="A12">
        <f>$B$3+7</f>
        <v/>
      </c>
      <c r="B12" s="42">
        <f>SUMPRODUCT((YEAR(MOVIMIENTOS!$B$5:$B$10004)=A12)*((MOVIMIENTOS!$C$5:$C$10004="Ingreso")+(MOVIMIENTOS!$C$5:$C$10004="Venta"))*(MOVIMIENTOS!$P$5:$P$10004="Pagado")*MOVIMIENTOS!$O$5:$O$10004)</f>
        <v/>
      </c>
      <c r="C12" s="42">
        <f>SUMPRODUCT((YEAR(MOVIMIENTOS!$B$5:$B$10004)=A12)*((MOVIMIENTOS!$C$5:$C$10004="Gasto")+(MOVIMIENTOS!$C$5:$C$10004="Compra"))*(MOVIMIENTOS!$P$5:$P$10004="Pagado")*MOVIMIENTOS!$O$5:$O$10004)</f>
        <v/>
      </c>
      <c r="D12" s="42">
        <f>B12-C12</f>
        <v/>
      </c>
      <c r="E12">
        <f>SUMPRODUCT((YEAR(DOCUMENTOS!$B$5:$B$10004)=A12)*(DOCUMENTOS!$L$5:$L$10004="Validado"))</f>
        <v/>
      </c>
      <c r="F12">
        <f>SUMPRODUCT((YEAR(DOCUMENTOS!$B$5:$B$10004)=A12)*(DOCUMENTOS!$L$5:$L$10004="Error"))</f>
        <v/>
      </c>
    </row>
    <row r="13">
      <c r="A13">
        <f>$B$3+8</f>
        <v/>
      </c>
      <c r="B13" s="42">
        <f>SUMPRODUCT((YEAR(MOVIMIENTOS!$B$5:$B$10004)=A13)*((MOVIMIENTOS!$C$5:$C$10004="Ingreso")+(MOVIMIENTOS!$C$5:$C$10004="Venta"))*(MOVIMIENTOS!$P$5:$P$10004="Pagado")*MOVIMIENTOS!$O$5:$O$10004)</f>
        <v/>
      </c>
      <c r="C13" s="42">
        <f>SUMPRODUCT((YEAR(MOVIMIENTOS!$B$5:$B$10004)=A13)*((MOVIMIENTOS!$C$5:$C$10004="Gasto")+(MOVIMIENTOS!$C$5:$C$10004="Compra"))*(MOVIMIENTOS!$P$5:$P$10004="Pagado")*MOVIMIENTOS!$O$5:$O$10004)</f>
        <v/>
      </c>
      <c r="D13" s="42">
        <f>B13-C13</f>
        <v/>
      </c>
      <c r="E13">
        <f>SUMPRODUCT((YEAR(DOCUMENTOS!$B$5:$B$10004)=A13)*(DOCUMENTOS!$L$5:$L$10004="Validado"))</f>
        <v/>
      </c>
      <c r="F13">
        <f>SUMPRODUCT((YEAR(DOCUMENTOS!$B$5:$B$10004)=A13)*(DOCUMENTOS!$L$5:$L$10004="Error"))</f>
        <v/>
      </c>
    </row>
    <row r="14">
      <c r="A14">
        <f>$B$3+9</f>
        <v/>
      </c>
      <c r="B14" s="42">
        <f>SUMPRODUCT((YEAR(MOVIMIENTOS!$B$5:$B$10004)=A14)*((MOVIMIENTOS!$C$5:$C$10004="Ingreso")+(MOVIMIENTOS!$C$5:$C$10004="Venta"))*(MOVIMIENTOS!$P$5:$P$10004="Pagado")*MOVIMIENTOS!$O$5:$O$10004)</f>
        <v/>
      </c>
      <c r="C14" s="42">
        <f>SUMPRODUCT((YEAR(MOVIMIENTOS!$B$5:$B$10004)=A14)*((MOVIMIENTOS!$C$5:$C$10004="Gasto")+(MOVIMIENTOS!$C$5:$C$10004="Compra"))*(MOVIMIENTOS!$P$5:$P$10004="Pagado")*MOVIMIENTOS!$O$5:$O$10004)</f>
        <v/>
      </c>
      <c r="D14" s="42">
        <f>B14-C14</f>
        <v/>
      </c>
      <c r="E14">
        <f>SUMPRODUCT((YEAR(DOCUMENTOS!$B$5:$B$10004)=A14)*(DOCUMENTOS!$L$5:$L$10004="Validado"))</f>
        <v/>
      </c>
      <c r="F14">
        <f>SUMPRODUCT((YEAR(DOCUMENTOS!$B$5:$B$10004)=A14)*(DOCUMENTOS!$L$5:$L$10004="Error"))</f>
        <v/>
      </c>
    </row>
    <row r="15">
      <c r="A15">
        <f>$B$3+10</f>
        <v/>
      </c>
      <c r="B15" s="42">
        <f>SUMPRODUCT((YEAR(MOVIMIENTOS!$B$5:$B$10004)=A15)*((MOVIMIENTOS!$C$5:$C$10004="Ingreso")+(MOVIMIENTOS!$C$5:$C$10004="Venta"))*(MOVIMIENTOS!$P$5:$P$10004="Pagado")*MOVIMIENTOS!$O$5:$O$10004)</f>
        <v/>
      </c>
      <c r="C15" s="42">
        <f>SUMPRODUCT((YEAR(MOVIMIENTOS!$B$5:$B$10004)=A15)*((MOVIMIENTOS!$C$5:$C$10004="Gasto")+(MOVIMIENTOS!$C$5:$C$10004="Compra"))*(MOVIMIENTOS!$P$5:$P$10004="Pagado")*MOVIMIENTOS!$O$5:$O$10004)</f>
        <v/>
      </c>
      <c r="D15" s="42">
        <f>B15-C15</f>
        <v/>
      </c>
      <c r="E15">
        <f>SUMPRODUCT((YEAR(DOCUMENTOS!$B$5:$B$10004)=A15)*(DOCUMENTOS!$L$5:$L$10004="Validado"))</f>
        <v/>
      </c>
      <c r="F15">
        <f>SUMPRODUCT((YEAR(DOCUMENTOS!$B$5:$B$10004)=A15)*(DOCUMENTOS!$L$5:$L$10004="Error"))</f>
        <v/>
      </c>
    </row>
    <row r="16">
      <c r="A16">
        <f>$B$3+11</f>
        <v/>
      </c>
      <c r="B16" s="42">
        <f>SUMPRODUCT((YEAR(MOVIMIENTOS!$B$5:$B$10004)=A16)*((MOVIMIENTOS!$C$5:$C$10004="Ingreso")+(MOVIMIENTOS!$C$5:$C$10004="Venta"))*(MOVIMIENTOS!$P$5:$P$10004="Pagado")*MOVIMIENTOS!$O$5:$O$10004)</f>
        <v/>
      </c>
      <c r="C16" s="42">
        <f>SUMPRODUCT((YEAR(MOVIMIENTOS!$B$5:$B$10004)=A16)*((MOVIMIENTOS!$C$5:$C$10004="Gasto")+(MOVIMIENTOS!$C$5:$C$10004="Compra"))*(MOVIMIENTOS!$P$5:$P$10004="Pagado")*MOVIMIENTOS!$O$5:$O$10004)</f>
        <v/>
      </c>
      <c r="D16" s="42">
        <f>B16-C16</f>
        <v/>
      </c>
      <c r="E16">
        <f>SUMPRODUCT((YEAR(DOCUMENTOS!$B$5:$B$10004)=A16)*(DOCUMENTOS!$L$5:$L$10004="Validado"))</f>
        <v/>
      </c>
      <c r="F16">
        <f>SUMPRODUCT((YEAR(DOCUMENTOS!$B$5:$B$10004)=A16)*(DOCUMENTOS!$L$5:$L$10004="Error"))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5A5A5A"/>
    <outlinePr summaryBelow="1" summaryRight="1"/>
    <pageSetUpPr/>
  </sheetPr>
  <dimension ref="A1:I204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9.140625" defaultRowHeight="15"/>
  <cols>
    <col width="12" customWidth="1" style="33" min="1" max="2"/>
    <col width="13" customWidth="1" style="33" min="3" max="3"/>
    <col width="12" customWidth="1" style="33" min="4" max="5"/>
    <col width="22" customWidth="1" style="33" min="6" max="6"/>
    <col width="19" customWidth="1" style="33" min="7" max="7"/>
    <col width="16" customWidth="1" style="33" min="8" max="8"/>
    <col width="15" customWidth="1" style="33" min="9" max="9"/>
  </cols>
  <sheetData>
    <row r="1" ht="21" customHeight="1" s="33">
      <c r="A1" s="1" t="inlineStr">
        <is>
          <t>LOG</t>
        </is>
      </c>
    </row>
    <row r="2">
      <c r="A2" s="2" t="inlineStr">
        <is>
          <t>Registro de auditoria - se completa automaticamente por VBA (Fase 4); estructura lista desde ya</t>
        </is>
      </c>
    </row>
    <row r="4" ht="27.95" customHeight="1" s="33">
      <c r="A4" s="14" t="inlineStr">
        <is>
          <t>Fecha</t>
        </is>
      </c>
      <c r="B4" s="14" t="inlineStr">
        <is>
          <t>Hora</t>
        </is>
      </c>
      <c r="C4" s="14" t="inlineStr">
        <is>
          <t>Usuario</t>
        </is>
      </c>
      <c r="D4" s="14" t="inlineStr">
        <is>
          <t>Accion</t>
        </is>
      </c>
      <c r="E4" s="14" t="inlineStr">
        <is>
          <t>Modulo</t>
        </is>
      </c>
      <c r="F4" s="14" t="inlineStr">
        <is>
          <t>RegistroAfectado</t>
        </is>
      </c>
      <c r="G4" s="14" t="inlineStr">
        <is>
          <t>ValorAnterior</t>
        </is>
      </c>
      <c r="H4" s="14" t="inlineStr">
        <is>
          <t>ValorNuevo</t>
        </is>
      </c>
      <c r="I4" s="14" t="inlineStr">
        <is>
          <t>Resultado</t>
        </is>
      </c>
    </row>
    <row r="5">
      <c r="A5" s="41" t="n">
        <v>46296</v>
      </c>
      <c r="B5" s="46" t="n">
        <v>0.5</v>
      </c>
      <c r="C5" t="inlineStr">
        <is>
          <t>DEMO</t>
        </is>
      </c>
      <c r="D5" t="inlineStr">
        <is>
          <t>Configuración ficticia de empresa</t>
        </is>
      </c>
      <c r="E5" t="inlineStr">
        <is>
          <t>EMPRESA</t>
        </is>
      </c>
      <c r="F5" t="inlineStr">
        <is>
          <t>Comercial Andina Demo S.A.S.</t>
        </is>
      </c>
      <c r="G5" t="inlineStr"/>
      <c r="H5" t="inlineStr">
        <is>
          <t>Comercial Andina Demo S.A.S.</t>
        </is>
      </c>
      <c r="I5" t="inlineStr">
        <is>
          <t>LISTO</t>
        </is>
      </c>
    </row>
    <row r="6">
      <c r="A6" s="41" t="n">
        <v>46296</v>
      </c>
      <c r="B6" s="46" t="n">
        <v>0.5006944444444444</v>
      </c>
      <c r="C6" t="inlineStr">
        <is>
          <t>DEMO</t>
        </is>
      </c>
      <c r="D6" t="inlineStr">
        <is>
          <t>Catálogos revisados</t>
        </is>
      </c>
      <c r="E6" t="inlineStr">
        <is>
          <t>CONFIGURACIÓN</t>
        </is>
      </c>
      <c r="F6" t="inlineStr">
        <is>
          <t>Categorías e impuestos configurables</t>
        </is>
      </c>
      <c r="G6" t="inlineStr"/>
      <c r="H6" t="inlineStr">
        <is>
          <t>Categorías e impuestos configurables</t>
        </is>
      </c>
      <c r="I6" t="inlineStr">
        <is>
          <t>LISTO</t>
        </is>
      </c>
    </row>
    <row r="7">
      <c r="A7" s="41" t="n">
        <v>46296</v>
      </c>
      <c r="B7" s="46" t="n">
        <v>0.5013888888888889</v>
      </c>
      <c r="C7" t="inlineStr">
        <is>
          <t>DEMO</t>
        </is>
      </c>
      <c r="D7" t="inlineStr">
        <is>
          <t>Documento importado</t>
        </is>
      </c>
      <c r="E7" t="inlineStr">
        <is>
          <t>DOCUMENTOS</t>
        </is>
      </c>
      <c r="F7" t="inlineStr">
        <is>
          <t>DOC-DEMO-001 · XML</t>
        </is>
      </c>
      <c r="G7" t="inlineStr"/>
      <c r="H7" t="inlineStr">
        <is>
          <t>DOC-DEMO-001 · XML</t>
        </is>
      </c>
      <c r="I7" t="inlineStr">
        <is>
          <t>VALIDADO</t>
        </is>
      </c>
    </row>
    <row r="8">
      <c r="A8" s="41" t="n">
        <v>46296</v>
      </c>
      <c r="B8" s="46" t="n">
        <v>0.5020833333333333</v>
      </c>
      <c r="C8" t="inlineStr">
        <is>
          <t>DEMO</t>
        </is>
      </c>
      <c r="D8" t="inlineStr">
        <is>
          <t>Documento importado</t>
        </is>
      </c>
      <c r="E8" t="inlineStr">
        <is>
          <t>DOCUMENTOS</t>
        </is>
      </c>
      <c r="F8" t="inlineStr">
        <is>
          <t>DOC-DEMO-006 · imagen</t>
        </is>
      </c>
      <c r="G8" t="inlineStr"/>
      <c r="H8" t="inlineStr">
        <is>
          <t>DOC-DEMO-006 · imagen</t>
        </is>
      </c>
      <c r="I8" t="inlineStr">
        <is>
          <t>REVISIÓN MANUAL</t>
        </is>
      </c>
    </row>
    <row r="9">
      <c r="A9" s="41" t="n">
        <v>46296</v>
      </c>
      <c r="B9" s="46" t="n">
        <v>0.5027777777777778</v>
      </c>
      <c r="C9" t="inlineStr">
        <is>
          <t>DEMO</t>
        </is>
      </c>
      <c r="D9" t="inlineStr">
        <is>
          <t>Terceros identificados</t>
        </is>
      </c>
      <c r="E9" t="inlineStr">
        <is>
          <t>TERCEROS</t>
        </is>
      </c>
      <c r="F9" t="inlineStr">
        <is>
          <t>3 registros ficticios</t>
        </is>
      </c>
      <c r="G9" t="inlineStr"/>
      <c r="H9" t="inlineStr">
        <is>
          <t>3 registros ficticios</t>
        </is>
      </c>
      <c r="I9" t="inlineStr">
        <is>
          <t>LISTO</t>
        </is>
      </c>
    </row>
    <row r="10">
      <c r="A10" s="41" t="n">
        <v>46296</v>
      </c>
      <c r="B10" s="46" t="n">
        <v>0.5034722222222222</v>
      </c>
      <c r="C10" t="inlineStr">
        <is>
          <t>DEMO</t>
        </is>
      </c>
      <c r="D10" t="inlineStr">
        <is>
          <t>Movimientos preparados</t>
        </is>
      </c>
      <c r="E10" t="inlineStr">
        <is>
          <t>MOVIMIENTOS</t>
        </is>
      </c>
      <c r="F10" t="inlineStr">
        <is>
          <t>5 registros ficticios</t>
        </is>
      </c>
      <c r="G10" t="inlineStr"/>
      <c r="H10" t="inlineStr">
        <is>
          <t>5 registros ficticios</t>
        </is>
      </c>
      <c r="I10" t="inlineStr">
        <is>
          <t>LISTO</t>
        </is>
      </c>
    </row>
    <row r="11">
      <c r="A11" s="41" t="n">
        <v>46296</v>
      </c>
      <c r="B11" s="46" t="n">
        <v>0.5041666666666667</v>
      </c>
      <c r="C11" t="inlineStr">
        <is>
          <t>DEMO</t>
        </is>
      </c>
      <c r="D11" t="inlineStr">
        <is>
          <t>Pagos y cobros aplicados</t>
        </is>
      </c>
      <c r="E11" t="inlineStr">
        <is>
          <t>TESORERÍA</t>
        </is>
      </c>
      <c r="F11" t="inlineStr">
        <is>
          <t>2 pagos · 1 cobro</t>
        </is>
      </c>
      <c r="G11" t="inlineStr"/>
      <c r="H11" t="inlineStr">
        <is>
          <t>2 pagos · 1 cobro</t>
        </is>
      </c>
      <c r="I11" t="inlineStr">
        <is>
          <t>LISTO</t>
        </is>
      </c>
    </row>
    <row r="12">
      <c r="A12" s="41" t="n">
        <v>46296</v>
      </c>
      <c r="B12" s="46" t="n">
        <v>0.5048611111111111</v>
      </c>
      <c r="C12" t="inlineStr">
        <is>
          <t>DEMO</t>
        </is>
      </c>
      <c r="D12" t="inlineStr">
        <is>
          <t>Libro de demostración generado</t>
        </is>
      </c>
      <c r="E12" t="inlineStr">
        <is>
          <t>REPORTES</t>
        </is>
      </c>
      <c r="F12" t="inlineStr">
        <is>
          <t>Sistema_Financiero_Demo_2026.xlsx</t>
        </is>
      </c>
      <c r="G12" t="inlineStr"/>
      <c r="H12" t="inlineStr">
        <is>
          <t>Sistema_Financiero_Demo_2026.xlsx</t>
        </is>
      </c>
      <c r="I12" t="inlineStr">
        <is>
          <t>COMPLETO</t>
        </is>
      </c>
    </row>
    <row r="13">
      <c r="A13" s="41" t="n"/>
    </row>
    <row r="14">
      <c r="A14" s="41" t="n"/>
    </row>
    <row r="15">
      <c r="A15" s="41" t="n"/>
    </row>
    <row r="16">
      <c r="A16" s="41" t="n"/>
    </row>
    <row r="17">
      <c r="A17" s="41" t="n"/>
    </row>
    <row r="18">
      <c r="A18" s="41" t="n"/>
    </row>
    <row r="19">
      <c r="A19" s="41" t="n"/>
    </row>
    <row r="20">
      <c r="A20" s="41" t="n"/>
    </row>
    <row r="21">
      <c r="A21" s="41" t="n"/>
    </row>
    <row r="22">
      <c r="A22" s="41" t="n"/>
    </row>
    <row r="23">
      <c r="A23" s="41" t="n"/>
    </row>
    <row r="24">
      <c r="A24" s="41" t="n"/>
    </row>
    <row r="25">
      <c r="A25" s="41" t="n"/>
    </row>
    <row r="26">
      <c r="A26" s="41" t="n"/>
    </row>
    <row r="27">
      <c r="A27" s="41" t="n"/>
    </row>
    <row r="28">
      <c r="A28" s="41" t="n"/>
    </row>
    <row r="29">
      <c r="A29" s="41" t="n"/>
    </row>
    <row r="30">
      <c r="A30" s="41" t="n"/>
    </row>
    <row r="31">
      <c r="A31" s="41" t="n"/>
    </row>
    <row r="32">
      <c r="A32" s="41" t="n"/>
    </row>
    <row r="33">
      <c r="A33" s="41" t="n"/>
    </row>
    <row r="34">
      <c r="A34" s="41" t="n"/>
    </row>
    <row r="35">
      <c r="A35" s="41" t="n"/>
    </row>
    <row r="36">
      <c r="A36" s="41" t="n"/>
    </row>
    <row r="37">
      <c r="A37" s="41" t="n"/>
    </row>
    <row r="38">
      <c r="A38" s="41" t="n"/>
    </row>
    <row r="39">
      <c r="A39" s="41" t="n"/>
    </row>
    <row r="40">
      <c r="A40" s="41" t="n"/>
    </row>
    <row r="41">
      <c r="A41" s="41" t="n"/>
    </row>
    <row r="42">
      <c r="A42" s="41" t="n"/>
    </row>
    <row r="43">
      <c r="A43" s="41" t="n"/>
    </row>
    <row r="44">
      <c r="A44" s="41" t="n"/>
    </row>
    <row r="45">
      <c r="A45" s="41" t="n"/>
    </row>
    <row r="46">
      <c r="A46" s="41" t="n"/>
    </row>
    <row r="47">
      <c r="A47" s="41" t="n"/>
    </row>
    <row r="48">
      <c r="A48" s="41" t="n"/>
    </row>
    <row r="49">
      <c r="A49" s="41" t="n"/>
    </row>
    <row r="50">
      <c r="A50" s="41" t="n"/>
    </row>
    <row r="51">
      <c r="A51" s="41" t="n"/>
    </row>
    <row r="52">
      <c r="A52" s="41" t="n"/>
    </row>
    <row r="53">
      <c r="A53" s="41" t="n"/>
    </row>
    <row r="54">
      <c r="A54" s="41" t="n"/>
    </row>
    <row r="55">
      <c r="A55" s="41" t="n"/>
    </row>
    <row r="56">
      <c r="A56" s="41" t="n"/>
    </row>
    <row r="57">
      <c r="A57" s="41" t="n"/>
    </row>
    <row r="58">
      <c r="A58" s="41" t="n"/>
    </row>
    <row r="59">
      <c r="A59" s="41" t="n"/>
    </row>
    <row r="60">
      <c r="A60" s="41" t="n"/>
    </row>
    <row r="61">
      <c r="A61" s="41" t="n"/>
    </row>
    <row r="62">
      <c r="A62" s="41" t="n"/>
    </row>
    <row r="63">
      <c r="A63" s="41" t="n"/>
    </row>
    <row r="64">
      <c r="A64" s="41" t="n"/>
    </row>
    <row r="65">
      <c r="A65" s="41" t="n"/>
    </row>
    <row r="66">
      <c r="A66" s="41" t="n"/>
    </row>
    <row r="67">
      <c r="A67" s="41" t="n"/>
    </row>
    <row r="68">
      <c r="A68" s="41" t="n"/>
    </row>
    <row r="69">
      <c r="A69" s="41" t="n"/>
    </row>
    <row r="70">
      <c r="A70" s="41" t="n"/>
    </row>
    <row r="71">
      <c r="A71" s="41" t="n"/>
    </row>
    <row r="72">
      <c r="A72" s="41" t="n"/>
    </row>
    <row r="73">
      <c r="A73" s="41" t="n"/>
    </row>
    <row r="74">
      <c r="A74" s="41" t="n"/>
    </row>
    <row r="75">
      <c r="A75" s="41" t="n"/>
    </row>
    <row r="76">
      <c r="A76" s="41" t="n"/>
    </row>
    <row r="77">
      <c r="A77" s="41" t="n"/>
    </row>
    <row r="78">
      <c r="A78" s="41" t="n"/>
    </row>
    <row r="79">
      <c r="A79" s="41" t="n"/>
    </row>
    <row r="80">
      <c r="A80" s="41" t="n"/>
    </row>
    <row r="81">
      <c r="A81" s="41" t="n"/>
    </row>
    <row r="82">
      <c r="A82" s="41" t="n"/>
    </row>
    <row r="83">
      <c r="A83" s="41" t="n"/>
    </row>
    <row r="84">
      <c r="A84" s="41" t="n"/>
    </row>
    <row r="85">
      <c r="A85" s="41" t="n"/>
    </row>
    <row r="86">
      <c r="A86" s="41" t="n"/>
    </row>
    <row r="87">
      <c r="A87" s="41" t="n"/>
    </row>
    <row r="88">
      <c r="A88" s="41" t="n"/>
    </row>
    <row r="89">
      <c r="A89" s="41" t="n"/>
    </row>
    <row r="90">
      <c r="A90" s="41" t="n"/>
    </row>
    <row r="91">
      <c r="A91" s="41" t="n"/>
    </row>
    <row r="92">
      <c r="A92" s="41" t="n"/>
    </row>
    <row r="93">
      <c r="A93" s="41" t="n"/>
    </row>
    <row r="94">
      <c r="A94" s="41" t="n"/>
    </row>
    <row r="95">
      <c r="A95" s="41" t="n"/>
    </row>
    <row r="96">
      <c r="A96" s="41" t="n"/>
    </row>
    <row r="97">
      <c r="A97" s="41" t="n"/>
    </row>
    <row r="98">
      <c r="A98" s="41" t="n"/>
    </row>
    <row r="99">
      <c r="A99" s="41" t="n"/>
    </row>
    <row r="100">
      <c r="A100" s="41" t="n"/>
    </row>
    <row r="101">
      <c r="A101" s="41" t="n"/>
    </row>
    <row r="102">
      <c r="A102" s="41" t="n"/>
    </row>
    <row r="103">
      <c r="A103" s="41" t="n"/>
    </row>
    <row r="104">
      <c r="A104" s="41" t="n"/>
    </row>
    <row r="105">
      <c r="A105" s="41" t="n"/>
    </row>
    <row r="106">
      <c r="A106" s="41" t="n"/>
    </row>
    <row r="107">
      <c r="A107" s="41" t="n"/>
    </row>
    <row r="108">
      <c r="A108" s="41" t="n"/>
    </row>
    <row r="109">
      <c r="A109" s="41" t="n"/>
    </row>
    <row r="110">
      <c r="A110" s="41" t="n"/>
    </row>
    <row r="111">
      <c r="A111" s="41" t="n"/>
    </row>
    <row r="112">
      <c r="A112" s="41" t="n"/>
    </row>
    <row r="113">
      <c r="A113" s="41" t="n"/>
    </row>
    <row r="114">
      <c r="A114" s="41" t="n"/>
    </row>
    <row r="115">
      <c r="A115" s="41" t="n"/>
    </row>
    <row r="116">
      <c r="A116" s="41" t="n"/>
    </row>
    <row r="117">
      <c r="A117" s="41" t="n"/>
    </row>
    <row r="118">
      <c r="A118" s="41" t="n"/>
    </row>
    <row r="119">
      <c r="A119" s="41" t="n"/>
    </row>
    <row r="120">
      <c r="A120" s="41" t="n"/>
    </row>
    <row r="121">
      <c r="A121" s="41" t="n"/>
    </row>
    <row r="122">
      <c r="A122" s="41" t="n"/>
    </row>
    <row r="123">
      <c r="A123" s="41" t="n"/>
    </row>
    <row r="124">
      <c r="A124" s="41" t="n"/>
    </row>
    <row r="125">
      <c r="A125" s="41" t="n"/>
    </row>
    <row r="126">
      <c r="A126" s="41" t="n"/>
    </row>
    <row r="127">
      <c r="A127" s="41" t="n"/>
    </row>
    <row r="128">
      <c r="A128" s="41" t="n"/>
    </row>
    <row r="129">
      <c r="A129" s="41" t="n"/>
    </row>
    <row r="130">
      <c r="A130" s="41" t="n"/>
    </row>
    <row r="131">
      <c r="A131" s="41" t="n"/>
    </row>
    <row r="132">
      <c r="A132" s="41" t="n"/>
    </row>
    <row r="133">
      <c r="A133" s="41" t="n"/>
    </row>
    <row r="134">
      <c r="A134" s="41" t="n"/>
    </row>
    <row r="135">
      <c r="A135" s="41" t="n"/>
    </row>
    <row r="136">
      <c r="A136" s="41" t="n"/>
    </row>
    <row r="137">
      <c r="A137" s="41" t="n"/>
    </row>
    <row r="138">
      <c r="A138" s="41" t="n"/>
    </row>
    <row r="139">
      <c r="A139" s="41" t="n"/>
    </row>
    <row r="140">
      <c r="A140" s="41" t="n"/>
    </row>
    <row r="141">
      <c r="A141" s="41" t="n"/>
    </row>
    <row r="142">
      <c r="A142" s="41" t="n"/>
    </row>
    <row r="143">
      <c r="A143" s="41" t="n"/>
    </row>
    <row r="144">
      <c r="A144" s="41" t="n"/>
    </row>
    <row r="145">
      <c r="A145" s="41" t="n"/>
    </row>
    <row r="146">
      <c r="A146" s="41" t="n"/>
    </row>
    <row r="147">
      <c r="A147" s="41" t="n"/>
    </row>
    <row r="148">
      <c r="A148" s="41" t="n"/>
    </row>
    <row r="149">
      <c r="A149" s="41" t="n"/>
    </row>
    <row r="150">
      <c r="A150" s="41" t="n"/>
    </row>
    <row r="151">
      <c r="A151" s="41" t="n"/>
    </row>
    <row r="152">
      <c r="A152" s="41" t="n"/>
    </row>
    <row r="153">
      <c r="A153" s="41" t="n"/>
    </row>
    <row r="154">
      <c r="A154" s="41" t="n"/>
    </row>
    <row r="155">
      <c r="A155" s="41" t="n"/>
    </row>
    <row r="156">
      <c r="A156" s="41" t="n"/>
    </row>
    <row r="157">
      <c r="A157" s="41" t="n"/>
    </row>
    <row r="158">
      <c r="A158" s="41" t="n"/>
    </row>
    <row r="159">
      <c r="A159" s="41" t="n"/>
    </row>
    <row r="160">
      <c r="A160" s="41" t="n"/>
    </row>
    <row r="161">
      <c r="A161" s="41" t="n"/>
    </row>
    <row r="162">
      <c r="A162" s="41" t="n"/>
    </row>
    <row r="163">
      <c r="A163" s="41" t="n"/>
    </row>
    <row r="164">
      <c r="A164" s="41" t="n"/>
    </row>
    <row r="165">
      <c r="A165" s="41" t="n"/>
    </row>
    <row r="166">
      <c r="A166" s="41" t="n"/>
    </row>
    <row r="167">
      <c r="A167" s="41" t="n"/>
    </row>
    <row r="168">
      <c r="A168" s="41" t="n"/>
    </row>
    <row r="169">
      <c r="A169" s="41" t="n"/>
    </row>
    <row r="170">
      <c r="A170" s="41" t="n"/>
    </row>
    <row r="171">
      <c r="A171" s="41" t="n"/>
    </row>
    <row r="172">
      <c r="A172" s="41" t="n"/>
    </row>
    <row r="173">
      <c r="A173" s="41" t="n"/>
    </row>
    <row r="174">
      <c r="A174" s="41" t="n"/>
    </row>
    <row r="175">
      <c r="A175" s="41" t="n"/>
    </row>
    <row r="176">
      <c r="A176" s="41" t="n"/>
    </row>
    <row r="177">
      <c r="A177" s="41" t="n"/>
    </row>
    <row r="178">
      <c r="A178" s="41" t="n"/>
    </row>
    <row r="179">
      <c r="A179" s="41" t="n"/>
    </row>
    <row r="180">
      <c r="A180" s="41" t="n"/>
    </row>
    <row r="181">
      <c r="A181" s="41" t="n"/>
    </row>
    <row r="182">
      <c r="A182" s="41" t="n"/>
    </row>
    <row r="183">
      <c r="A183" s="41" t="n"/>
    </row>
    <row r="184">
      <c r="A184" s="41" t="n"/>
    </row>
    <row r="185">
      <c r="A185" s="41" t="n"/>
    </row>
    <row r="186">
      <c r="A186" s="41" t="n"/>
    </row>
    <row r="187">
      <c r="A187" s="41" t="n"/>
    </row>
    <row r="188">
      <c r="A188" s="41" t="n"/>
    </row>
    <row r="189">
      <c r="A189" s="41" t="n"/>
    </row>
    <row r="190">
      <c r="A190" s="41" t="n"/>
    </row>
    <row r="191">
      <c r="A191" s="41" t="n"/>
    </row>
    <row r="192">
      <c r="A192" s="41" t="n"/>
    </row>
    <row r="193">
      <c r="A193" s="41" t="n"/>
    </row>
    <row r="194">
      <c r="A194" s="41" t="n"/>
    </row>
    <row r="195">
      <c r="A195" s="41" t="n"/>
    </row>
    <row r="196">
      <c r="A196" s="41" t="n"/>
    </row>
    <row r="197">
      <c r="A197" s="41" t="n"/>
    </row>
    <row r="198">
      <c r="A198" s="41" t="n"/>
    </row>
    <row r="199">
      <c r="A199" s="41" t="n"/>
    </row>
    <row r="200">
      <c r="A200" s="41" t="n"/>
    </row>
    <row r="201">
      <c r="A201" s="41" t="n"/>
    </row>
    <row r="202">
      <c r="A202" s="41" t="n"/>
    </row>
    <row r="203">
      <c r="A203" s="41" t="n"/>
    </row>
    <row r="204">
      <c r="A204" s="4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Financiero · Entorno de demostración</dc:creator>
  <dc:title>Simulación ficticia del Sistema Financiero Empresarial</dc:title>
  <dc:subject>Libro de demostración generado desde la plantilla del proyecto</dc:subject>
  <dcterms:created xsi:type="dcterms:W3CDTF">2026-10-01T02:33:02Z</dcterms:created>
  <dcterms:modified xsi:type="dcterms:W3CDTF">2026-10-01T21:00:56Z</dcterms:modified>
  <cp:lastModifiedBy>Sebastian Segovia Medina</cp:lastModifiedBy>
</cp:coreProperties>
</file>