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rtfolio\app-excel\dist\"/>
    </mc:Choice>
  </mc:AlternateContent>
  <xr:revisionPtr revIDLastSave="0" documentId="13_ncr:1_{98730523-9327-4415-906C-38651E5B0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ICIO" sheetId="1" r:id="rId1"/>
    <sheet name="DASHBOARD" sheetId="2" r:id="rId2"/>
    <sheet name="MENU" sheetId="3" r:id="rId3"/>
    <sheet name="EMPRESA" sheetId="4" r:id="rId4"/>
    <sheet name="PARAMETROS" sheetId="5" r:id="rId5"/>
    <sheet name="CATEGORIAS" sheetId="6" r:id="rId6"/>
    <sheet name="IMPUESTOS" sheetId="7" r:id="rId7"/>
    <sheet name="TIPOS_DOCUMENTOS" sheetId="8" r:id="rId8"/>
    <sheet name="ESTADOS" sheetId="9" r:id="rId9"/>
    <sheet name="MEDIOS_PAGO" sheetId="10" r:id="rId10"/>
    <sheet name="USUARIOS_ROLES" sheetId="11" r:id="rId11"/>
    <sheet name="TERCEROS" sheetId="12" r:id="rId12"/>
    <sheet name="DOCUMENTOS" sheetId="13" r:id="rId13"/>
    <sheet name="MOVIMIENTOS" sheetId="14" r:id="rId14"/>
    <sheet name="PAGOS" sheetId="15" r:id="rId15"/>
    <sheet name="COBROS" sheetId="16" r:id="rId16"/>
    <sheet name="CUENTAS" sheetId="17" r:id="rId17"/>
    <sheet name="ASISTENTE" sheetId="18" r:id="rId18"/>
    <sheet name="REGLAS_IA" sheetId="19" r:id="rId19"/>
    <sheet name="INGRESOS" sheetId="20" r:id="rId20"/>
    <sheet name="GASTOS" sheetId="21" r:id="rId21"/>
    <sheet name="FLUJO_CAJA" sheetId="22" r:id="rId22"/>
    <sheet name="CXC" sheetId="23" r:id="rId23"/>
    <sheet name="CXP" sheetId="24" r:id="rId24"/>
    <sheet name="IMPUESTOS_REPORTE" sheetId="25" r:id="rId25"/>
    <sheet name="REPORTE_MENSUAL" sheetId="26" r:id="rId26"/>
    <sheet name="REPORTE_ANUAL" sheetId="27" r:id="rId27"/>
    <sheet name="LOG" sheetId="28" r:id="rId28"/>
  </sheets>
  <definedNames>
    <definedName name="Lst_Categoria">'CATEGORIAS'!$C$5:$C$1004</definedName>
    <definedName name="Lst_Cuenta">'CUENTAS'!$B$5:$B$504</definedName>
    <definedName name="Lst_EstadoDocumento">"Validado,Pendiente,Error,Revision Manual,Duplicado"</definedName>
    <definedName name="Lst_EstadoMovimiento">"Pendiente,Pagado,Anulado"</definedName>
    <definedName name="Lst_EstadoPagoCobro">"Pendiente,Aplicado,Anulado"</definedName>
    <definedName name="Lst_MedioPago">MEDIOS_PAGO!$B$5:$B$1004</definedName>
    <definedName name="Lst_MetodoExtraccion">"XML,PDF,OCR,Manual,IA"</definedName>
    <definedName name="Lst_TerceroNombre">TERCEROS!$C$5:$C$2004</definedName>
    <definedName name="Lst_TipoArchivo">"PDF,JPG,PNG,XML,CSV,Otro"</definedName>
    <definedName name="Lst_TipoDocumentoNombre">TIPOS_DOCUMENTOS!$B$5:$B$1004</definedName>
    <definedName name="Lst_TipoMovimiento">"Ingreso,Gasto,Compra,Venta,Otro"</definedName>
    <definedName name="Lst_TipoTercero">"Cliente,Proveedor,Empleado,Socio,Entidad publica,Otro"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7" l="1"/>
  <c r="A15" i="27"/>
  <c r="A14" i="27"/>
  <c r="A13" i="27"/>
  <c r="A12" i="27"/>
  <c r="A11" i="27"/>
  <c r="A10" i="27"/>
  <c r="A9" i="27"/>
  <c r="A8" i="27"/>
  <c r="A7" i="27"/>
  <c r="A6" i="27"/>
  <c r="A5" i="27"/>
  <c r="F16" i="26"/>
  <c r="E16" i="26"/>
  <c r="C16" i="26"/>
  <c r="B16" i="26"/>
  <c r="F15" i="26"/>
  <c r="E15" i="26"/>
  <c r="C15" i="26"/>
  <c r="B15" i="26"/>
  <c r="F14" i="26"/>
  <c r="E14" i="26"/>
  <c r="C14" i="26"/>
  <c r="B14" i="26"/>
  <c r="F13" i="26"/>
  <c r="E13" i="26"/>
  <c r="C13" i="26"/>
  <c r="B13" i="26"/>
  <c r="F12" i="26"/>
  <c r="E12" i="26"/>
  <c r="C12" i="26"/>
  <c r="B12" i="26"/>
  <c r="F11" i="26"/>
  <c r="E11" i="26"/>
  <c r="C11" i="26"/>
  <c r="B11" i="26"/>
  <c r="F10" i="26"/>
  <c r="E10" i="26"/>
  <c r="C10" i="26"/>
  <c r="B10" i="26"/>
  <c r="F9" i="26"/>
  <c r="E9" i="26"/>
  <c r="C9" i="26"/>
  <c r="B9" i="26"/>
  <c r="F8" i="26"/>
  <c r="E8" i="26"/>
  <c r="C8" i="26"/>
  <c r="B8" i="26"/>
  <c r="F7" i="26"/>
  <c r="E7" i="26"/>
  <c r="C7" i="26"/>
  <c r="B7" i="26"/>
  <c r="F6" i="26"/>
  <c r="E6" i="26"/>
  <c r="C6" i="26"/>
  <c r="B6" i="26"/>
  <c r="F5" i="26"/>
  <c r="E5" i="26"/>
  <c r="C5" i="26"/>
  <c r="B5" i="26"/>
  <c r="E16" i="25"/>
  <c r="D16" i="25"/>
  <c r="C16" i="25"/>
  <c r="B16" i="25"/>
  <c r="E15" i="25"/>
  <c r="D15" i="25"/>
  <c r="C15" i="25"/>
  <c r="B15" i="25"/>
  <c r="E14" i="25"/>
  <c r="D14" i="25"/>
  <c r="C14" i="25"/>
  <c r="B14" i="25"/>
  <c r="E13" i="25"/>
  <c r="D13" i="25"/>
  <c r="C13" i="25"/>
  <c r="B13" i="25"/>
  <c r="E12" i="25"/>
  <c r="D12" i="25"/>
  <c r="C12" i="25"/>
  <c r="B12" i="25"/>
  <c r="E11" i="25"/>
  <c r="D11" i="25"/>
  <c r="C11" i="25"/>
  <c r="B11" i="25"/>
  <c r="E10" i="25"/>
  <c r="D10" i="25"/>
  <c r="C10" i="25"/>
  <c r="B10" i="25"/>
  <c r="E9" i="25"/>
  <c r="D9" i="25"/>
  <c r="C9" i="25"/>
  <c r="B9" i="25"/>
  <c r="E8" i="25"/>
  <c r="D8" i="25"/>
  <c r="C8" i="25"/>
  <c r="B8" i="25"/>
  <c r="E7" i="25"/>
  <c r="D7" i="25"/>
  <c r="C7" i="25"/>
  <c r="B7" i="25"/>
  <c r="E6" i="25"/>
  <c r="D6" i="25"/>
  <c r="C6" i="25"/>
  <c r="B6" i="25"/>
  <c r="E5" i="25"/>
  <c r="D5" i="25"/>
  <c r="C5" i="25"/>
  <c r="B5" i="25"/>
  <c r="C16" i="22"/>
  <c r="B16" i="22"/>
  <c r="C15" i="22"/>
  <c r="B15" i="22"/>
  <c r="C14" i="22"/>
  <c r="B14" i="22"/>
  <c r="D14" i="22" s="1"/>
  <c r="C13" i="22"/>
  <c r="B13" i="22"/>
  <c r="D13" i="22" s="1"/>
  <c r="C12" i="22"/>
  <c r="B12" i="22"/>
  <c r="D12" i="22" s="1"/>
  <c r="C11" i="22"/>
  <c r="B11" i="22"/>
  <c r="D11" i="22" s="1"/>
  <c r="C10" i="22"/>
  <c r="B10" i="22"/>
  <c r="C9" i="22"/>
  <c r="B9" i="22"/>
  <c r="C8" i="22"/>
  <c r="B8" i="22"/>
  <c r="C7" i="22"/>
  <c r="B7" i="22"/>
  <c r="C6" i="22"/>
  <c r="B6" i="22"/>
  <c r="C5" i="22"/>
  <c r="B5" i="22"/>
  <c r="M9" i="21"/>
  <c r="L9" i="21"/>
  <c r="K9" i="21"/>
  <c r="J9" i="21"/>
  <c r="I9" i="21"/>
  <c r="H9" i="21"/>
  <c r="G9" i="21"/>
  <c r="F9" i="21"/>
  <c r="C9" i="21"/>
  <c r="B9" i="21"/>
  <c r="M8" i="21"/>
  <c r="L8" i="21"/>
  <c r="K8" i="21"/>
  <c r="J8" i="21"/>
  <c r="I8" i="21"/>
  <c r="H8" i="21"/>
  <c r="G8" i="21"/>
  <c r="F8" i="21"/>
  <c r="E8" i="21"/>
  <c r="D8" i="21"/>
  <c r="C8" i="21"/>
  <c r="B8" i="21"/>
  <c r="M7" i="21"/>
  <c r="L7" i="21"/>
  <c r="K7" i="21"/>
  <c r="J7" i="21"/>
  <c r="I7" i="21"/>
  <c r="H7" i="21"/>
  <c r="G7" i="21"/>
  <c r="F7" i="21"/>
  <c r="E7" i="21"/>
  <c r="D7" i="21"/>
  <c r="C7" i="21"/>
  <c r="B7" i="21"/>
  <c r="M6" i="21"/>
  <c r="L6" i="21"/>
  <c r="K6" i="21"/>
  <c r="J6" i="21"/>
  <c r="I6" i="21"/>
  <c r="H6" i="21"/>
  <c r="G6" i="21"/>
  <c r="F6" i="21"/>
  <c r="C6" i="21"/>
  <c r="B6" i="21"/>
  <c r="M5" i="21"/>
  <c r="L5" i="21"/>
  <c r="K5" i="21"/>
  <c r="J5" i="21"/>
  <c r="I5" i="21"/>
  <c r="H5" i="21"/>
  <c r="G5" i="21"/>
  <c r="F5" i="21"/>
  <c r="E5" i="21"/>
  <c r="D5" i="21"/>
  <c r="C5" i="21"/>
  <c r="B5" i="21"/>
  <c r="M7" i="20"/>
  <c r="L7" i="20"/>
  <c r="K7" i="20"/>
  <c r="J7" i="20"/>
  <c r="I7" i="20"/>
  <c r="H7" i="20"/>
  <c r="G7" i="20"/>
  <c r="F7" i="20"/>
  <c r="E7" i="20"/>
  <c r="D7" i="20"/>
  <c r="C7" i="20"/>
  <c r="B7" i="20"/>
  <c r="M6" i="20"/>
  <c r="L6" i="20"/>
  <c r="K6" i="20"/>
  <c r="J6" i="20"/>
  <c r="I6" i="20"/>
  <c r="H6" i="20"/>
  <c r="G6" i="20"/>
  <c r="F6" i="20"/>
  <c r="E6" i="20"/>
  <c r="B6" i="20"/>
  <c r="M5" i="20"/>
  <c r="L5" i="20"/>
  <c r="K5" i="20"/>
  <c r="J5" i="20"/>
  <c r="I5" i="20"/>
  <c r="H5" i="20"/>
  <c r="G5" i="20"/>
  <c r="F5" i="20"/>
  <c r="E5" i="20"/>
  <c r="D5" i="20"/>
  <c r="C5" i="20"/>
  <c r="B5" i="20"/>
  <c r="K104" i="19"/>
  <c r="K103" i="19"/>
  <c r="K102" i="19"/>
  <c r="K101" i="19"/>
  <c r="K100" i="19"/>
  <c r="K99" i="19"/>
  <c r="K98" i="19"/>
  <c r="K97" i="19"/>
  <c r="K96" i="19"/>
  <c r="K95" i="19"/>
  <c r="K94" i="19"/>
  <c r="K93" i="19"/>
  <c r="K92" i="19"/>
  <c r="K91" i="19"/>
  <c r="K90" i="19"/>
  <c r="K89" i="19"/>
  <c r="K88" i="19"/>
  <c r="K87" i="19"/>
  <c r="K86" i="19"/>
  <c r="K85" i="19"/>
  <c r="K84" i="19"/>
  <c r="K83" i="19"/>
  <c r="K82" i="19"/>
  <c r="K81" i="19"/>
  <c r="K80" i="19"/>
  <c r="K79" i="19"/>
  <c r="K78" i="19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G8" i="17"/>
  <c r="G7" i="17"/>
  <c r="G6" i="17"/>
  <c r="G5" i="17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B22" i="2"/>
  <c r="B21" i="2"/>
  <c r="B20" i="2"/>
  <c r="B19" i="2"/>
  <c r="B15" i="2"/>
  <c r="B14" i="2"/>
  <c r="E9" i="21" l="1"/>
  <c r="D9" i="21"/>
  <c r="N9" i="21" s="1"/>
  <c r="E6" i="21"/>
  <c r="E10" i="21" s="1"/>
  <c r="D6" i="21"/>
  <c r="D6" i="20"/>
  <c r="D8" i="20" s="1"/>
  <c r="C6" i="20"/>
  <c r="B18" i="2"/>
  <c r="B17" i="2"/>
  <c r="D10" i="22"/>
  <c r="D8" i="26"/>
  <c r="D8" i="22"/>
  <c r="D7" i="26"/>
  <c r="D12" i="26"/>
  <c r="D9" i="22"/>
  <c r="D5" i="22"/>
  <c r="E5" i="22" s="1"/>
  <c r="E8" i="20"/>
  <c r="D13" i="26"/>
  <c r="D6" i="22"/>
  <c r="D10" i="26"/>
  <c r="D16" i="22"/>
  <c r="I10" i="21"/>
  <c r="H10" i="21"/>
  <c r="G10" i="21"/>
  <c r="F10" i="21"/>
  <c r="C10" i="21"/>
  <c r="K8" i="20"/>
  <c r="H8" i="20"/>
  <c r="G8" i="20"/>
  <c r="F8" i="20"/>
  <c r="B9" i="18"/>
  <c r="D9" i="26"/>
  <c r="D7" i="22"/>
  <c r="J8" i="20"/>
  <c r="D11" i="26"/>
  <c r="I8" i="20"/>
  <c r="J10" i="21"/>
  <c r="L8" i="20"/>
  <c r="D5" i="26"/>
  <c r="B16" i="2"/>
  <c r="D15" i="22"/>
  <c r="D14" i="26"/>
  <c r="N8" i="21"/>
  <c r="N7" i="21"/>
  <c r="M10" i="21"/>
  <c r="L10" i="21"/>
  <c r="N7" i="20"/>
  <c r="D6" i="26"/>
  <c r="D16" i="26"/>
  <c r="M8" i="20"/>
  <c r="D15" i="26"/>
  <c r="F9" i="27"/>
  <c r="E9" i="27"/>
  <c r="C9" i="27"/>
  <c r="B9" i="27"/>
  <c r="F16" i="27"/>
  <c r="E16" i="27"/>
  <c r="C16" i="27"/>
  <c r="B16" i="27"/>
  <c r="F15" i="27"/>
  <c r="E15" i="27"/>
  <c r="C15" i="27"/>
  <c r="B15" i="27"/>
  <c r="F14" i="27"/>
  <c r="E14" i="27"/>
  <c r="C14" i="27"/>
  <c r="B14" i="27"/>
  <c r="F13" i="27"/>
  <c r="E13" i="27"/>
  <c r="C13" i="27"/>
  <c r="B13" i="27"/>
  <c r="F12" i="27"/>
  <c r="E12" i="27"/>
  <c r="C12" i="27"/>
  <c r="B12" i="27"/>
  <c r="F11" i="27"/>
  <c r="E11" i="27"/>
  <c r="C11" i="27"/>
  <c r="B11" i="27"/>
  <c r="F10" i="27"/>
  <c r="E10" i="27"/>
  <c r="C10" i="27"/>
  <c r="B10" i="27"/>
  <c r="B8" i="27"/>
  <c r="F8" i="27"/>
  <c r="E8" i="27"/>
  <c r="C8" i="27"/>
  <c r="F7" i="27"/>
  <c r="E7" i="27"/>
  <c r="C7" i="27"/>
  <c r="B7" i="27"/>
  <c r="F6" i="27"/>
  <c r="E6" i="27"/>
  <c r="C6" i="27"/>
  <c r="B6" i="27"/>
  <c r="F5" i="27"/>
  <c r="E5" i="27"/>
  <c r="C5" i="27"/>
  <c r="B5" i="27"/>
  <c r="K10" i="21"/>
  <c r="B10" i="21"/>
  <c r="N5" i="21"/>
  <c r="N5" i="20"/>
  <c r="B8" i="20"/>
  <c r="D10" i="21" l="1"/>
  <c r="N6" i="21"/>
  <c r="N10" i="21" s="1"/>
  <c r="N6" i="20"/>
  <c r="N8" i="20" s="1"/>
  <c r="C8" i="20"/>
  <c r="E6" i="22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D16" i="27"/>
  <c r="D6" i="27"/>
  <c r="D11" i="27"/>
  <c r="B14" i="18"/>
  <c r="B13" i="18"/>
  <c r="B15" i="18"/>
  <c r="B12" i="18"/>
  <c r="B11" i="18"/>
  <c r="B10" i="18"/>
  <c r="B16" i="18"/>
  <c r="D14" i="27"/>
  <c r="D10" i="27"/>
  <c r="D7" i="27"/>
  <c r="D13" i="27"/>
  <c r="D15" i="27"/>
  <c r="D9" i="27"/>
  <c r="D5" i="27"/>
  <c r="D12" i="27"/>
  <c r="D8" i="27"/>
</calcChain>
</file>

<file path=xl/sharedStrings.xml><?xml version="1.0" encoding="utf-8"?>
<sst xmlns="http://schemas.openxmlformats.org/spreadsheetml/2006/main" count="861" uniqueCount="476">
  <si>
    <t>SISTEMA FINANCIERO</t>
  </si>
  <si>
    <t>Inicio rápido | Configure la empresa, registre operaciones y revise resultados</t>
  </si>
  <si>
    <t>TAREAS FRECUENTES</t>
  </si>
  <si>
    <t>1. CONFIGURAR EMPRESA</t>
  </si>
  <si>
    <t>2. REGISTRAR MOVIMIENTO</t>
  </si>
  <si>
    <t>Actualice datos, moneda y parámetros.</t>
  </si>
  <si>
    <t>Capture ingreso, gasto, compra o venta.</t>
  </si>
  <si>
    <t>3. ASISTENTE LOCAL</t>
  </si>
  <si>
    <t>4. REVISAR DOCUMENTOS</t>
  </si>
  <si>
    <t>Reciba una sugerencia y revísela.</t>
  </si>
  <si>
    <t>Consulte soportes y complete datos.</t>
  </si>
  <si>
    <t>5. VER INDICADORES</t>
  </si>
  <si>
    <t>6. ABRIR REPORTES</t>
  </si>
  <si>
    <t>Filtre ingresos, gastos y pendientes.</t>
  </si>
  <si>
    <t>Consulte periodos mensual y anual.</t>
  </si>
  <si>
    <t>PRIMEROS PASOS</t>
  </si>
  <si>
    <t>1. Configure empresa, categorías, cuentas y terceros.</t>
  </si>
  <si>
    <t>2. Registre una operación o use el asistente para clasificar el concepto.</t>
  </si>
  <si>
    <t>3. Revise los indicadores y conserve el soporte relacionado.</t>
  </si>
  <si>
    <t>El libro XLSX permite captura, fórmulas y sugerencias locales. La importación de archivos, lectura XML y altas automáticas requieren la copia XLSM con los módulos VBA instalados.</t>
  </si>
  <si>
    <t>Ver todos los módulos</t>
  </si>
  <si>
    <t>Editar reglas del asistente</t>
  </si>
  <si>
    <t>DASHBOARD</t>
  </si>
  <si>
    <t>Indicadores financieros - se actualiza automaticamente desde MOVIMIENTOS y DOCUMENTOS</t>
  </si>
  <si>
    <t>FILTROS</t>
  </si>
  <si>
    <t>Anio (vacio = todos)</t>
  </si>
  <si>
    <t>Mes (1-12, vacio = todos)</t>
  </si>
  <si>
    <t>Tipo (vacio = todos)</t>
  </si>
  <si>
    <t>Categoria (vacio = todos)</t>
  </si>
  <si>
    <t>Tercero (vacio = todos)</t>
  </si>
  <si>
    <t>Cuenta (vacio = todos)</t>
  </si>
  <si>
    <t>Estado (vacio = todos)</t>
  </si>
  <si>
    <t>INDICADORES</t>
  </si>
  <si>
    <t>Ingresos</t>
  </si>
  <si>
    <t>Gastos</t>
  </si>
  <si>
    <t>Flujo Neto</t>
  </si>
  <si>
    <t>Cuentas por Cobrar</t>
  </si>
  <si>
    <t>Cuentas por Pagar</t>
  </si>
  <si>
    <t>Impuestos Recaudados/Pagados</t>
  </si>
  <si>
    <t>Documentos Registrados</t>
  </si>
  <si>
    <t>Documentos Pendientes</t>
  </si>
  <si>
    <t>Documentos con Error</t>
  </si>
  <si>
    <t>Tipo/Categoria/Cuenta filtran movimientos; los conteos de documentos usan Año, Mes y Tercero.</t>
  </si>
  <si>
    <t>Para Anio/Mes vacios se muestran todos los periodos.</t>
  </si>
  <si>
    <t>SISTEMA FINANCIERO EMPRESARIAL</t>
  </si>
  <si>
    <t>Plataforma configurable de gestion financiera - Colombia</t>
  </si>
  <si>
    <t>Navegacion rapida (Ctrl+clic en Excel Desktop, o clic simple segun version):</t>
  </si>
  <si>
    <t>INICIO</t>
  </si>
  <si>
    <t>CONFIGURAR EMPRESA</t>
  </si>
  <si>
    <t>PARAMETROS</t>
  </si>
  <si>
    <t>CATEGORIAS</t>
  </si>
  <si>
    <t>IMPUESTOS</t>
  </si>
  <si>
    <t>CUENTAS</t>
  </si>
  <si>
    <t>TIPOS DE DOCUMENTO</t>
  </si>
  <si>
    <t>TERCEROS</t>
  </si>
  <si>
    <t>ASISTENTE DE CLASIFICACION</t>
  </si>
  <si>
    <t>REGLAS DEL ASISTENTE</t>
  </si>
  <si>
    <t>DOCUMENTOS</t>
  </si>
  <si>
    <t>REGISTRAR MOVIMIENTO</t>
  </si>
  <si>
    <t>PAGOS</t>
  </si>
  <si>
    <t>COBROS</t>
  </si>
  <si>
    <t>REPORTE MENSUAL</t>
  </si>
  <si>
    <t>REPORTE ANUAL</t>
  </si>
  <si>
    <t>LOG DE AUDITORIA</t>
  </si>
  <si>
    <t>MACROS (Fases 4 y 5 - importar los .bas de la carpeta vba/)</t>
  </si>
  <si>
    <t>Ejecutar con Alt+F8, o asignar a un boton: Insertar &gt; Formularios &gt; Boton, dibujar, elegir el macro y pulsar Aceptar.</t>
  </si>
  <si>
    <t>Macro</t>
  </si>
  <si>
    <t>Que hace</t>
  </si>
  <si>
    <t>Menu_ImportarDocumento</t>
  </si>
  <si>
    <t>Copia el soporte y extrae campos estructurados si es XML UBL</t>
  </si>
  <si>
    <t>Menu_ExtraerXMLDocumentoActivo</t>
  </si>
  <si>
    <t>Relee el XML UBL de la fila DOCUMENTOS seleccionada</t>
  </si>
  <si>
    <t>Menu_ConfirmarRevisionXMLDocumentoActivo</t>
  </si>
  <si>
    <t>Confirma la revisión humana del XML seleccionado</t>
  </si>
  <si>
    <t>Menu_RenombrarArchivoDocumentoActivo</t>
  </si>
  <si>
    <t>Renombra en disco el archivo de la fila DOCUMENTOS donde este el cursor</t>
  </si>
  <si>
    <t>Menu_NuevoMovimiento</t>
  </si>
  <si>
    <t>Inserta una fila nueva en MOVIMIENTOS con ID y fecha automaticos</t>
  </si>
  <si>
    <t>Menu_NuevoDocumento</t>
  </si>
  <si>
    <t>Inserta una fila nueva en DOCUMENTOS con ID automatico</t>
  </si>
  <si>
    <t>Menu_NuevoTercero</t>
  </si>
  <si>
    <t>Inserta una fila nueva en TERCEROS con ID automatico</t>
  </si>
  <si>
    <t>Menu_NuevoPago</t>
  </si>
  <si>
    <t>Inserta una fila nueva en PAGOS con ID automatico</t>
  </si>
  <si>
    <t>Menu_NuevoCobro</t>
  </si>
  <si>
    <t>Inserta una fila nueva en COBROS con ID automatico</t>
  </si>
  <si>
    <t>Menu_ValidarTodo</t>
  </si>
  <si>
    <t>Valida MOVIMIENTOS, DOCUMENTOS (incl. duplicados) y TERCEROS (NIT duplicado)</t>
  </si>
  <si>
    <t>Menu_ActualizarReportes</t>
  </si>
  <si>
    <t>Recalcula el libro y repuebla CXC/CXP desde MOVIMIENTOS pendientes</t>
  </si>
  <si>
    <t>EMPRESA</t>
  </si>
  <si>
    <t>Datos de la empresa - editar libremente, no usar en formulas de otras hojas</t>
  </si>
  <si>
    <t>Campo</t>
  </si>
  <si>
    <t>Valor</t>
  </si>
  <si>
    <t>NombreEmpresa</t>
  </si>
  <si>
    <t>Empresa Ejemplo S.A.S.</t>
  </si>
  <si>
    <t>NIT</t>
  </si>
  <si>
    <t>900000000-1</t>
  </si>
  <si>
    <t>RegimenTributario</t>
  </si>
  <si>
    <t>Configurar (Comun / No responsable de IVA / Simple / etc.)</t>
  </si>
  <si>
    <t>ActividadEconomica</t>
  </si>
  <si>
    <t>Configurar codigo CIIU</t>
  </si>
  <si>
    <t>ResponsableIVA</t>
  </si>
  <si>
    <t>No</t>
  </si>
  <si>
    <t>DireccionPrincipal</t>
  </si>
  <si>
    <t>Ciudad</t>
  </si>
  <si>
    <t>Telefono</t>
  </si>
  <si>
    <t>Email</t>
  </si>
  <si>
    <t>MonedaPrincipal</t>
  </si>
  <si>
    <t>COP</t>
  </si>
  <si>
    <t>AnioFiscalInicioMes</t>
  </si>
  <si>
    <t>Enero</t>
  </si>
  <si>
    <t>RutaRaizArchivos</t>
  </si>
  <si>
    <t>LogoRuta</t>
  </si>
  <si>
    <t>Parametros generales del sistema - configurables sin tocar formulas</t>
  </si>
  <si>
    <t>Codigo</t>
  </si>
  <si>
    <t>Parametro</t>
  </si>
  <si>
    <t>Tipo</t>
  </si>
  <si>
    <t>Descripcion</t>
  </si>
  <si>
    <t>PAR-001</t>
  </si>
  <si>
    <t>DECIMALES_MONEDA</t>
  </si>
  <si>
    <t>Numero</t>
  </si>
  <si>
    <t>Decimales para valores monetarios</t>
  </si>
  <si>
    <t>PAR-002</t>
  </si>
  <si>
    <t>FORMATO_FECHA</t>
  </si>
  <si>
    <t>dd/mm/aaaa</t>
  </si>
  <si>
    <t>Texto</t>
  </si>
  <si>
    <t>Formato de fecha estandar</t>
  </si>
  <si>
    <t>PAR-003</t>
  </si>
  <si>
    <t>PREFIJO_MOVIMIENTO</t>
  </si>
  <si>
    <t>MOV-</t>
  </si>
  <si>
    <t>Prefijo para ID de movimientos</t>
  </si>
  <si>
    <t>PAR-004</t>
  </si>
  <si>
    <t>PREFIJO_DOCUMENTO</t>
  </si>
  <si>
    <t>DOC-</t>
  </si>
  <si>
    <t>Prefijo para ID de documentos</t>
  </si>
  <si>
    <t>PAR-005</t>
  </si>
  <si>
    <t>UMBRAL_DIAS_DUPLICADO</t>
  </si>
  <si>
    <t>Dias de tolerancia para sugerir posible duplicado</t>
  </si>
  <si>
    <t>PAR-006</t>
  </si>
  <si>
    <t>RUTA_DOCUMENTOS</t>
  </si>
  <si>
    <t>Documentos</t>
  </si>
  <si>
    <t>Ruta relativa a la carpeta del libro o ruta absoluta de soportes</t>
  </si>
  <si>
    <t>PAR-007</t>
  </si>
  <si>
    <t>MODO_COMPATIBILIDAD</t>
  </si>
  <si>
    <t>COMPATIBLE</t>
  </si>
  <si>
    <t>COMPATIBLE (Excel 2019) o MODERNO</t>
  </si>
  <si>
    <t>Clasificacion financiera - editable, no ligada a formulas ni VBA</t>
  </si>
  <si>
    <t>Categoria</t>
  </si>
  <si>
    <t>Subcategoria</t>
  </si>
  <si>
    <t>Activa</t>
  </si>
  <si>
    <t>ING-001</t>
  </si>
  <si>
    <t>Ingreso</t>
  </si>
  <si>
    <t>Ventas</t>
  </si>
  <si>
    <t>Productos</t>
  </si>
  <si>
    <t>Si</t>
  </si>
  <si>
    <t>ING-002</t>
  </si>
  <si>
    <t>Servicios</t>
  </si>
  <si>
    <t>ING-003</t>
  </si>
  <si>
    <t>Financiero</t>
  </si>
  <si>
    <t>Rendimientos</t>
  </si>
  <si>
    <t>GAS-001</t>
  </si>
  <si>
    <t>Gasto</t>
  </si>
  <si>
    <t>Operacion</t>
  </si>
  <si>
    <t>Servicios publicos</t>
  </si>
  <si>
    <t>GAS-002</t>
  </si>
  <si>
    <t>Suministros</t>
  </si>
  <si>
    <t>GAS-003</t>
  </si>
  <si>
    <t>Administracion</t>
  </si>
  <si>
    <t>Software</t>
  </si>
  <si>
    <t>GAS-004</t>
  </si>
  <si>
    <t>Arriendo</t>
  </si>
  <si>
    <t>GAS-005</t>
  </si>
  <si>
    <t>Nomina</t>
  </si>
  <si>
    <t>Salarios</t>
  </si>
  <si>
    <t>COM-001</t>
  </si>
  <si>
    <t>Compra</t>
  </si>
  <si>
    <t>Inventario</t>
  </si>
  <si>
    <t>Mercancia</t>
  </si>
  <si>
    <t>COM-002</t>
  </si>
  <si>
    <t>Activos</t>
  </si>
  <si>
    <t>Tecnologia</t>
  </si>
  <si>
    <t>VEN-001</t>
  </si>
  <si>
    <t>Venta</t>
  </si>
  <si>
    <t>General</t>
  </si>
  <si>
    <t>OTR-001</t>
  </si>
  <si>
    <t>Otro</t>
  </si>
  <si>
    <t>Sin clasificar</t>
  </si>
  <si>
    <t>Usar temporalmente y reclasificar</t>
  </si>
  <si>
    <t>Impuestos y retenciones - VERIFICAR PORCENTAJES VIGENTES ANTES DE USAR</t>
  </si>
  <si>
    <t>Impuesto</t>
  </si>
  <si>
    <t>Porcentaje</t>
  </si>
  <si>
    <t>Base</t>
  </si>
  <si>
    <t>CuentaAsociada</t>
  </si>
  <si>
    <t>Activo</t>
  </si>
  <si>
    <t>Observaciones</t>
  </si>
  <si>
    <t>IVA-001</t>
  </si>
  <si>
    <t>IVA general</t>
  </si>
  <si>
    <t>Subtotal</t>
  </si>
  <si>
    <t>Configurar segun normativa DIAN/municipal vigente</t>
  </si>
  <si>
    <t>RET-001</t>
  </si>
  <si>
    <t>Retencion en la fuente - Servicios</t>
  </si>
  <si>
    <t>Retencion</t>
  </si>
  <si>
    <t>RET-002</t>
  </si>
  <si>
    <t>Retencion en la fuente - Compras</t>
  </si>
  <si>
    <t>RET-003</t>
  </si>
  <si>
    <t>ReteICA</t>
  </si>
  <si>
    <t>IC-001</t>
  </si>
  <si>
    <t>Impuesto de Industria y Comercio (ICA)</t>
  </si>
  <si>
    <t>TIPOS_DOCUMENTOS</t>
  </si>
  <si>
    <t>Tipos de documento soportados - ampliable</t>
  </si>
  <si>
    <t>TipoDocumento</t>
  </si>
  <si>
    <t>Prefijo</t>
  </si>
  <si>
    <t>RequiereCUFE</t>
  </si>
  <si>
    <t>TD-01</t>
  </si>
  <si>
    <t>Factura electronica</t>
  </si>
  <si>
    <t>FE</t>
  </si>
  <si>
    <t>TD-02</t>
  </si>
  <si>
    <t>Documento equivalente</t>
  </si>
  <si>
    <t>DE</t>
  </si>
  <si>
    <t>TD-03</t>
  </si>
  <si>
    <t>Documento soporte</t>
  </si>
  <si>
    <t>DS</t>
  </si>
  <si>
    <t>Compras a no obligados a facturar</t>
  </si>
  <si>
    <t>TD-04</t>
  </si>
  <si>
    <t>Nota credito</t>
  </si>
  <si>
    <t>NC</t>
  </si>
  <si>
    <t>TD-05</t>
  </si>
  <si>
    <t>Nota debito</t>
  </si>
  <si>
    <t>ND</t>
  </si>
  <si>
    <t>TD-06</t>
  </si>
  <si>
    <t>Recibo</t>
  </si>
  <si>
    <t>RC</t>
  </si>
  <si>
    <t>TD-07</t>
  </si>
  <si>
    <t>Comprobante</t>
  </si>
  <si>
    <t>CO</t>
  </si>
  <si>
    <t>TD-08</t>
  </si>
  <si>
    <t>Extracto bancario</t>
  </si>
  <si>
    <t>EB</t>
  </si>
  <si>
    <t>TD-09</t>
  </si>
  <si>
    <t>NM</t>
  </si>
  <si>
    <t>TD-10</t>
  </si>
  <si>
    <t>Contrato</t>
  </si>
  <si>
    <t>CT</t>
  </si>
  <si>
    <t>TD-11</t>
  </si>
  <si>
    <t>OT</t>
  </si>
  <si>
    <t>ESTADOS</t>
  </si>
  <si>
    <t>Catalogo de estados por ambito - referencia; los desplegables usan listas fijas por ambito</t>
  </si>
  <si>
    <t>Estado</t>
  </si>
  <si>
    <t>Ambito</t>
  </si>
  <si>
    <t>EST-01</t>
  </si>
  <si>
    <t>Pendiente</t>
  </si>
  <si>
    <t>Movimiento</t>
  </si>
  <si>
    <t>EST-02</t>
  </si>
  <si>
    <t>Pagado</t>
  </si>
  <si>
    <t>EST-03</t>
  </si>
  <si>
    <t>Anulado</t>
  </si>
  <si>
    <t>EST-04</t>
  </si>
  <si>
    <t>Validado</t>
  </si>
  <si>
    <t>Documento</t>
  </si>
  <si>
    <t>EST-05</t>
  </si>
  <si>
    <t>EST-06</t>
  </si>
  <si>
    <t>Error</t>
  </si>
  <si>
    <t>EST-07</t>
  </si>
  <si>
    <t>Revision Manual</t>
  </si>
  <si>
    <t>EST-08</t>
  </si>
  <si>
    <t>Duplicado</t>
  </si>
  <si>
    <t>EST-09</t>
  </si>
  <si>
    <t>Pago/Cobro</t>
  </si>
  <si>
    <t>EST-10</t>
  </si>
  <si>
    <t>Aplicado</t>
  </si>
  <si>
    <t>EST-11</t>
  </si>
  <si>
    <t>MEDIOS_PAGO</t>
  </si>
  <si>
    <t>MedioPago</t>
  </si>
  <si>
    <t>MP-01</t>
  </si>
  <si>
    <t>Efectivo</t>
  </si>
  <si>
    <t>MP-02</t>
  </si>
  <si>
    <t>Transferencia bancaria</t>
  </si>
  <si>
    <t>MP-03</t>
  </si>
  <si>
    <t>Tarjeta debito</t>
  </si>
  <si>
    <t>MP-04</t>
  </si>
  <si>
    <t>Tarjeta credito</t>
  </si>
  <si>
    <t>MP-05</t>
  </si>
  <si>
    <t>Cheque</t>
  </si>
  <si>
    <t>MP-06</t>
  </si>
  <si>
    <t>Billetera digital</t>
  </si>
  <si>
    <t>MP-07</t>
  </si>
  <si>
    <t>USUARIOS_ROLES</t>
  </si>
  <si>
    <t>Administracion de usuarios - control de acceso logico (no reemplaza proteccion de Excel)</t>
  </si>
  <si>
    <t>ID</t>
  </si>
  <si>
    <t>Usuario</t>
  </si>
  <si>
    <t>Rol</t>
  </si>
  <si>
    <t>USR-001</t>
  </si>
  <si>
    <t>Administrador</t>
  </si>
  <si>
    <t>Acceso total</t>
  </si>
  <si>
    <t>USR-002</t>
  </si>
  <si>
    <t>Contador</t>
  </si>
  <si>
    <t>Registro y validacion contable</t>
  </si>
  <si>
    <t>USR-003</t>
  </si>
  <si>
    <t>Auxiliar</t>
  </si>
  <si>
    <t>Digitacion y digitalizacion</t>
  </si>
  <si>
    <t>USR-004</t>
  </si>
  <si>
    <t>Consulta</t>
  </si>
  <si>
    <t>Solo lectura de reportes</t>
  </si>
  <si>
    <t>Base unica de clientes, proveedores, empleados, socios y entidades</t>
  </si>
  <si>
    <t>NombreRazonSocial</t>
  </si>
  <si>
    <t>NIT_ID</t>
  </si>
  <si>
    <t>Contacto</t>
  </si>
  <si>
    <t>Direccion</t>
  </si>
  <si>
    <t>ClaveDuplicado</t>
  </si>
  <si>
    <t>Soportes digitalizados: facturas, recibos, extractos y demas documentos</t>
  </si>
  <si>
    <t>Fecha</t>
  </si>
  <si>
    <t>Tercero</t>
  </si>
  <si>
    <t>Identificacion</t>
  </si>
  <si>
    <t>Impuestos</t>
  </si>
  <si>
    <t>Retenciones</t>
  </si>
  <si>
    <t>Total</t>
  </si>
  <si>
    <t>CUFE_Referencia</t>
  </si>
  <si>
    <t>RutaArchivo</t>
  </si>
  <si>
    <t>NombreArchivo</t>
  </si>
  <si>
    <t>TipoArchivo</t>
  </si>
  <si>
    <t>FechaExtraccion</t>
  </si>
  <si>
    <t>MetodoExtraccion</t>
  </si>
  <si>
    <t>Confianza</t>
  </si>
  <si>
    <t>MOVIMIENTOS</t>
  </si>
  <si>
    <t>Tabla principal: ingresos, gastos, compras, ventas y otros movimientos</t>
  </si>
  <si>
    <t>Concepto</t>
  </si>
  <si>
    <t>Cuenta</t>
  </si>
  <si>
    <t>SoporteID</t>
  </si>
  <si>
    <t>Salidas de caja aplicadas contra movimientos de Gasto/Compra (permite pagos parciales)</t>
  </si>
  <si>
    <t>MovimientoID</t>
  </si>
  <si>
    <t>ValorPagado</t>
  </si>
  <si>
    <t>Entradas de caja aplicadas contra movimientos de Ingreso/Venta (permite cobros parciales)</t>
  </si>
  <si>
    <t>ValorCobrado</t>
  </si>
  <si>
    <t>Cuentas de la empresa - el saldo actual se calcula automaticamente</t>
  </si>
  <si>
    <t>Entidad</t>
  </si>
  <si>
    <t>NumeroReferencia</t>
  </si>
  <si>
    <t>SaldoInicial</t>
  </si>
  <si>
    <t>SaldoActual</t>
  </si>
  <si>
    <t>CTA-001</t>
  </si>
  <si>
    <t>Caja General</t>
  </si>
  <si>
    <t>Caja</t>
  </si>
  <si>
    <t>CTA-002</t>
  </si>
  <si>
    <t>Banco Principal</t>
  </si>
  <si>
    <t>Banco</t>
  </si>
  <si>
    <t>Configurar entidad</t>
  </si>
  <si>
    <t>CTA-003</t>
  </si>
  <si>
    <t>Cuenta por cobrar</t>
  </si>
  <si>
    <t>CTA-004</t>
  </si>
  <si>
    <t>Cuenta por pagar</t>
  </si>
  <si>
    <t>ASISTENTE LOCAL</t>
  </si>
  <si>
    <t>Sugerencias por reglas editables; revise cada resultado antes de registrarlo</t>
  </si>
  <si>
    <t>DATOS DE LA OPERACIÓN</t>
  </si>
  <si>
    <t>Tercero o proveedor</t>
  </si>
  <si>
    <t>Concepto o descripción</t>
  </si>
  <si>
    <t>SUGERENCIA</t>
  </si>
  <si>
    <t>Categoría</t>
  </si>
  <si>
    <t>Subcategoría</t>
  </si>
  <si>
    <t>Medio de pago</t>
  </si>
  <si>
    <t>Regla coincidente</t>
  </si>
  <si>
    <t>Prioridad de regla</t>
  </si>
  <si>
    <t>CÓMO USARLO</t>
  </si>
  <si>
    <t>1. Escriba el tercero y el concepto. El tercero es opcional.</t>
  </si>
  <si>
    <t>2. Revise la regla, el tipo y la categoría sugeridos.</t>
  </si>
  <si>
    <t>3. Confirme los datos y regístrelos en MOVIMIENTOS.</t>
  </si>
  <si>
    <t>Funciona sin internet ni servicios pagos. La prioridad ordena reglas, no es una probabilidad de acierto. No calcula impuestos ni registra datos automáticamente.</t>
  </si>
  <si>
    <t>Editar las reglas y crear patrones propios</t>
  </si>
  <si>
    <t>Volver al inicio</t>
  </si>
  <si>
    <t>Catálogo editable de patrones; agregue reglas aprobadas por su empresa</t>
  </si>
  <si>
    <t>Las reglas solo proponen clasificación. Prioridad mayor gana; si hay empate, el asistente muestra conflicto. Ajuste palabras y prioridad según sus operaciones.</t>
  </si>
  <si>
    <t>PalabraClave</t>
  </si>
  <si>
    <t>TerceroOpcional</t>
  </si>
  <si>
    <t>Prioridad</t>
  </si>
  <si>
    <t>Coincidencia</t>
  </si>
  <si>
    <t>IA-001</t>
  </si>
  <si>
    <t>Sí</t>
  </si>
  <si>
    <t>arriendo</t>
  </si>
  <si>
    <t>Ejemplo editable</t>
  </si>
  <si>
    <t>IA-002</t>
  </si>
  <si>
    <t>servicios publicos</t>
  </si>
  <si>
    <t>Ejemplo sin tilde</t>
  </si>
  <si>
    <t>IA-003</t>
  </si>
  <si>
    <t>servicios públicos</t>
  </si>
  <si>
    <t>Variante con tilde</t>
  </si>
  <si>
    <t>IA-004</t>
  </si>
  <si>
    <t>suministros</t>
  </si>
  <si>
    <t>IA-005</t>
  </si>
  <si>
    <t>software</t>
  </si>
  <si>
    <t>IA-006</t>
  </si>
  <si>
    <t>nomina</t>
  </si>
  <si>
    <t>IA-007</t>
  </si>
  <si>
    <t>nómina</t>
  </si>
  <si>
    <t>IA-008</t>
  </si>
  <si>
    <t>venta de productos</t>
  </si>
  <si>
    <t>Frase específica</t>
  </si>
  <si>
    <t>IA-009</t>
  </si>
  <si>
    <t>venta productos</t>
  </si>
  <si>
    <t>Frase breve</t>
  </si>
  <si>
    <t>IA-010</t>
  </si>
  <si>
    <t>venta de servicios</t>
  </si>
  <si>
    <t>IA-011</t>
  </si>
  <si>
    <t>venta servicios</t>
  </si>
  <si>
    <t>IA-012</t>
  </si>
  <si>
    <t>rendimientos</t>
  </si>
  <si>
    <t>IA-013</t>
  </si>
  <si>
    <t>compra mercancia</t>
  </si>
  <si>
    <t>IA-014</t>
  </si>
  <si>
    <t>compra mercancía</t>
  </si>
  <si>
    <t>IA-015</t>
  </si>
  <si>
    <t>tecnologia</t>
  </si>
  <si>
    <t>IA-016</t>
  </si>
  <si>
    <t>tecnología</t>
  </si>
  <si>
    <t>INGRESOS</t>
  </si>
  <si>
    <t>Detalle de Ingreso/Venta agrupado por categoria y mes</t>
  </si>
  <si>
    <t>Año del reporte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</si>
  <si>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</si>
  <si>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</si>
  <si>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</si>
  <si>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</si>
  <si>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</si>
  <si>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</si>
  <si>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</si>
  <si>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</si>
  <si>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</si>
  <si>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</si>
  <si>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</si>
  <si>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</si>
  <si>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</si>
  <si>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GASTOS</t>
  </si>
  <si>
    <t>Detalle de Gasto/Compra agrupado por categoria y mes</t>
  </si>
  <si>
    <t>FLUJO_CAJA</t>
  </si>
  <si>
    <t>Entradas y salidas de caja por mes (base: PAGOS y COBROS aplicados)</t>
  </si>
  <si>
    <t>Mes</t>
  </si>
  <si>
    <t>Cobros</t>
  </si>
  <si>
    <t>Pagos</t>
  </si>
  <si>
    <t>Flujo Neto Mensual</t>
  </si>
  <si>
    <t>Flujo Acumulado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</si>
  <si>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</si>
  <si>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</si>
  <si>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</si>
  <si>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</si>
  <si>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</si>
  <si>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</si>
  <si>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</si>
  <si>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</si>
  <si>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</si>
  <si>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</si>
  <si>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</si>
  <si>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CXC</t>
  </si>
  <si>
    <t>Movimientos pendientes de cobrar (Ingreso/Venta con Estado=Pendiente)</t>
  </si>
  <si>
    <t>DiasVencido</t>
  </si>
  <si>
    <t>Ejecute Menu_ActualizarReportes después de importar los módulos VBA; mientras tanto, filtre MOVIMIENTOS por Estado=Pendiente (Datos &gt; Filtro).</t>
  </si>
  <si>
    <t>CXP</t>
  </si>
  <si>
    <t>Movimientos pendientes de pagar (Gasto/Compra con Estado=Pendiente)</t>
  </si>
  <si>
    <t>IMPUESTOS_REPORTE</t>
  </si>
  <si>
    <t>Impuestos y retenciones causados por mes - base para declaraciones</t>
  </si>
  <si>
    <t>Impuestos Causados (Ingresos)</t>
  </si>
  <si>
    <t>Impuestos Pagados (Gastos)</t>
  </si>
  <si>
    <t>Retenciones Practicadas</t>
  </si>
  <si>
    <t>Retenciones Sufridas</t>
  </si>
  <si>
    <t>REPORTE_MENSUAL</t>
  </si>
  <si>
    <t>Resumen ejecutivo del periodo - ingresos, gastos y resultado</t>
  </si>
  <si>
    <t>MES</t>
  </si>
  <si>
    <t>Resultado</t>
  </si>
  <si>
    <t>Documentos Validados</t>
  </si>
  <si>
    <t>REPORTE_ANUAL</t>
  </si>
  <si>
    <t>Año inicial del rango</t>
  </si>
  <si>
    <t>ANIO</t>
  </si>
  <si>
    <t>LOG</t>
  </si>
  <si>
    <t>Registro de auditoria - se completa automaticamente por VBA (Fase 4); estructura lista desde ya</t>
  </si>
  <si>
    <t>Hora</t>
  </si>
  <si>
    <t>Accion</t>
  </si>
  <si>
    <t>Modulo</t>
  </si>
  <si>
    <t>RegistroAfectado</t>
  </si>
  <si>
    <t>ValorAnterior</t>
  </si>
  <si>
    <t>ValorNuevo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</si>
</sst>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\ #,##0"/>
    <numFmt numFmtId="166" formatCode="&quot;$&quot;\ #,##0;\-&quot;$&quot;\ #,##0;&quot;&quot;"/>
  </numFmts>
  <fonts count="1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666666"/>
      <name val="Calibri"/>
    </font>
    <font>
      <i/>
      <sz val="9"/>
      <color rgb="FF666666"/>
      <name val="Calibri"/>
    </font>
    <font>
      <b/>
      <u/>
      <sz val="12"/>
      <color rgb="FF1155CC"/>
      <name val="Calibri"/>
    </font>
    <font>
      <b/>
      <sz val="11"/>
      <color rgb="FFB7791F"/>
      <name val="Calibri"/>
    </font>
    <font>
      <i/>
      <sz val="9"/>
      <color rgb="FF808080"/>
      <name val="Calibri"/>
    </font>
    <font>
      <b/>
      <sz val="11"/>
      <name val="Calibri"/>
    </font>
    <font>
      <sz val="9"/>
      <name val="Consolas"/>
    </font>
    <font>
      <sz val="9"/>
      <name val="Calibri"/>
    </font>
    <font>
      <b/>
      <sz val="10"/>
      <color rgb="FFFFFFFF"/>
      <name val="Calibri"/>
    </font>
    <font>
      <b/>
      <u/>
      <sz val="11"/>
      <color rgb="FF1155CC"/>
      <name val="Calibri"/>
    </font>
    <font>
      <b/>
      <u/>
      <sz val="11"/>
      <color rgb="FFFFFFFF"/>
      <name val="Calibri"/>
    </font>
    <font>
      <sz val="10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AF1FB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EFDA"/>
      </patternFill>
    </fill>
    <fill>
      <patternFill patternType="solid">
        <fgColor rgb="FFB7791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11" fillId="0" borderId="0" xfId="0" applyFont="1"/>
    <xf numFmtId="0" fontId="0" fillId="4" borderId="1" xfId="0" applyFill="1" applyBorder="1"/>
    <xf numFmtId="0" fontId="7" fillId="0" borderId="0" xfId="0" applyFont="1"/>
    <xf numFmtId="165" fontId="0" fillId="6" borderId="1" xfId="0" applyNumberFormat="1" applyFill="1" applyBorder="1"/>
    <xf numFmtId="3" fontId="0" fillId="6" borderId="1" xfId="0" applyNumberFormat="1" applyFill="1" applyBorder="1"/>
    <xf numFmtId="0" fontId="6" fillId="0" borderId="0" xfId="0" applyFont="1"/>
    <xf numFmtId="0" fontId="3" fillId="0" borderId="0" xfId="0" applyFont="1"/>
    <xf numFmtId="0" fontId="4" fillId="2" borderId="0" xfId="0" applyFont="1" applyFill="1"/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 vertical="center" wrapText="1"/>
    </xf>
    <xf numFmtId="10" fontId="0" fillId="0" borderId="0" xfId="0" applyNumberForma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10" fillId="3" borderId="0" xfId="0" applyFont="1" applyFill="1" applyAlignment="1" applyProtection="1">
      <alignment horizontal="center" vertical="center" wrapText="1"/>
      <protection locked="0"/>
    </xf>
    <xf numFmtId="164" fontId="0" fillId="0" borderId="0" xfId="0" applyNumberFormat="1"/>
    <xf numFmtId="165" fontId="0" fillId="0" borderId="0" xfId="0" applyNumberFormat="1"/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6" fontId="0" fillId="0" borderId="0" xfId="0" applyNumberFormat="1"/>
    <xf numFmtId="0" fontId="7" fillId="5" borderId="1" xfId="0" applyFont="1" applyFill="1" applyBorder="1"/>
    <xf numFmtId="0" fontId="0" fillId="5" borderId="1" xfId="0" applyFill="1" applyBorder="1"/>
    <xf numFmtId="1" fontId="0" fillId="0" borderId="0" xfId="0" applyNumberFormat="1" applyProtection="1">
      <protection locked="0"/>
    </xf>
    <xf numFmtId="1" fontId="0" fillId="0" borderId="0" xfId="0" applyNumberFormat="1"/>
    <xf numFmtId="0" fontId="0" fillId="4" borderId="0" xfId="0" applyFill="1"/>
    <xf numFmtId="0" fontId="10" fillId="7" borderId="0" xfId="0" applyFont="1" applyFill="1" applyAlignment="1">
      <alignment horizontal="center" vertical="center" wrapText="1"/>
    </xf>
    <xf numFmtId="165" fontId="7" fillId="0" borderId="0" xfId="0" applyNumberFormat="1" applyFont="1"/>
    <xf numFmtId="0" fontId="12" fillId="3" borderId="0" xfId="0" applyFont="1" applyFill="1" applyAlignment="1">
      <alignment vertical="center"/>
    </xf>
    <xf numFmtId="0" fontId="0" fillId="0" borderId="0" xfId="0"/>
    <xf numFmtId="0" fontId="3" fillId="0" borderId="0" xfId="0" applyFont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8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Ingresos vs Gastos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DASHBOARD!$A$14:$A$15</c:f>
              <c:strCache>
                <c:ptCount val="2"/>
                <c:pt idx="0">
                  <c:v>Ingresos</c:v>
                </c:pt>
                <c:pt idx="1">
                  <c:v>Gastos</c:v>
                </c:pt>
              </c:strCache>
            </c:strRef>
          </c:cat>
          <c:val>
            <c:numRef>
              <c:f>DASHBOARD!$B$14:$B$15</c:f>
              <c:numCache>
                <c:formatCode>"$"\ 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4500-A971-767E5CA0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Indicador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COP</a:t>
                </a:r>
              </a:p>
            </c:rich>
          </c:tx>
          <c:overlay val="1"/>
        </c:title>
        <c:numFmt formatCode="&quot;$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RESA" displayName="EMPRESA" ref="A4:B17">
  <autoFilter ref="A4:B17" xr:uid="{00000000-0009-0000-0100-000001000000}"/>
  <tableColumns count="2">
    <tableColumn id="1" xr3:uid="{00000000-0010-0000-0000-000001000000}" name="Campo"/>
    <tableColumn id="2" xr3:uid="{00000000-0010-0000-0000-000002000000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ETROS" displayName="PARAMETROS" ref="A4:E11">
  <autoFilter ref="A4:E11" xr:uid="{00000000-0009-0000-0100-000002000000}"/>
  <tableColumns count="5">
    <tableColumn id="1" xr3:uid="{00000000-0010-0000-0100-000001000000}" name="Codigo"/>
    <tableColumn id="2" xr3:uid="{00000000-0010-0000-0100-000002000000}" name="Parametro"/>
    <tableColumn id="3" xr3:uid="{00000000-0010-0000-0100-000003000000}" name="Valor"/>
    <tableColumn id="4" xr3:uid="{00000000-0010-0000-0100-000004000000}" name="Tipo"/>
    <tableColumn id="5" xr3:uid="{00000000-0010-0000-0100-000005000000}" name="Descrip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IAS" displayName="CATEGORIAS" ref="A4:F16">
  <autoFilter ref="A4:F16" xr:uid="{00000000-0009-0000-0100-000003000000}"/>
  <tableColumns count="6">
    <tableColumn id="1" xr3:uid="{00000000-0010-0000-0200-000001000000}" name="Codigo"/>
    <tableColumn id="2" xr3:uid="{00000000-0010-0000-0200-000002000000}" name="Tipo"/>
    <tableColumn id="3" xr3:uid="{00000000-0010-0000-0200-000003000000}" name="Categoria"/>
    <tableColumn id="4" xr3:uid="{00000000-0010-0000-0200-000004000000}" name="Subcategoria"/>
    <tableColumn id="5" xr3:uid="{00000000-0010-0000-0200-000005000000}" name="Activa"/>
    <tableColumn id="6" xr3:uid="{00000000-0010-0000-0200-000006000000}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MPUESTOS" displayName="IMPUESTOS" ref="A4:H9">
  <autoFilter ref="A4:H9" xr:uid="{00000000-0009-0000-0100-000004000000}"/>
  <tableColumns count="8">
    <tableColumn id="1" xr3:uid="{00000000-0010-0000-0300-000001000000}" name="Codigo"/>
    <tableColumn id="2" xr3:uid="{00000000-0010-0000-0300-000002000000}" name="Impuesto"/>
    <tableColumn id="3" xr3:uid="{00000000-0010-0000-0300-000003000000}" name="Porcentaje"/>
    <tableColumn id="4" xr3:uid="{00000000-0010-0000-0300-000004000000}" name="Tipo"/>
    <tableColumn id="5" xr3:uid="{00000000-0010-0000-0300-000005000000}" name="Base"/>
    <tableColumn id="6" xr3:uid="{00000000-0010-0000-0300-000006000000}" name="CuentaAsociada"/>
    <tableColumn id="7" xr3:uid="{00000000-0010-0000-0300-000007000000}" name="Activo"/>
    <tableColumn id="8" xr3:uid="{00000000-0010-0000-0300-000008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POS_DOCUMENTOS" displayName="TIPOS_DOCUMENTOS" ref="A4:F15">
  <autoFilter ref="A4:F15" xr:uid="{00000000-0009-0000-0100-000005000000}"/>
  <tableColumns count="6">
    <tableColumn id="1" xr3:uid="{00000000-0010-0000-0400-000001000000}" name="Codigo"/>
    <tableColumn id="2" xr3:uid="{00000000-0010-0000-0400-000002000000}" name="TipoDocumento"/>
    <tableColumn id="3" xr3:uid="{00000000-0010-0000-0400-000003000000}" name="Prefijo"/>
    <tableColumn id="4" xr3:uid="{00000000-0010-0000-0400-000004000000}" name="RequiereCUFE"/>
    <tableColumn id="5" xr3:uid="{00000000-0010-0000-0400-000005000000}" name="Activo"/>
    <tableColumn id="6" xr3:uid="{00000000-0010-0000-0400-000006000000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STADOS" displayName="ESTADOS" ref="A4:E15">
  <autoFilter ref="A4:E15" xr:uid="{00000000-0009-0000-0100-000006000000}"/>
  <tableColumns count="5">
    <tableColumn id="1" xr3:uid="{00000000-0010-0000-0500-000001000000}" name="Codigo"/>
    <tableColumn id="2" xr3:uid="{00000000-0010-0000-0500-000002000000}" name="Estado"/>
    <tableColumn id="3" xr3:uid="{00000000-0010-0000-0500-000003000000}" name="Ambito"/>
    <tableColumn id="4" xr3:uid="{00000000-0010-0000-0500-000004000000}" name="Activo"/>
    <tableColumn id="5" xr3:uid="{00000000-0010-0000-0500-000005000000}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DIOS_PAGO" displayName="MEDIOS_PAGO" ref="A4:D11">
  <autoFilter ref="A4:D11" xr:uid="{00000000-0009-0000-0100-000007000000}"/>
  <tableColumns count="4">
    <tableColumn id="1" xr3:uid="{00000000-0010-0000-0600-000001000000}" name="Codigo"/>
    <tableColumn id="2" xr3:uid="{00000000-0010-0000-0600-000002000000}" name="MedioPago"/>
    <tableColumn id="3" xr3:uid="{00000000-0010-0000-0600-000003000000}" name="Activo"/>
    <tableColumn id="4" xr3:uid="{00000000-0010-0000-0600-000004000000}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USUARIOS" displayName="USUARIOS" ref="A4:F8">
  <autoFilter ref="A4:F8" xr:uid="{00000000-0009-0000-0100-000008000000}"/>
  <tableColumns count="6">
    <tableColumn id="1" xr3:uid="{00000000-0010-0000-0700-000001000000}" name="ID"/>
    <tableColumn id="2" xr3:uid="{00000000-0010-0000-0700-000002000000}" name="Usuario"/>
    <tableColumn id="3" xr3:uid="{00000000-0010-0000-0700-000003000000}" name="Rol"/>
    <tableColumn id="4" xr3:uid="{00000000-0010-0000-0700-000004000000}" name="Email"/>
    <tableColumn id="5" xr3:uid="{00000000-0010-0000-0700-000005000000}" name="Activo"/>
    <tableColumn id="6" xr3:uid="{00000000-0010-0000-0700-000006000000}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ERCEROS" displayName="TERCEROS" ref="A4:L34">
  <autoFilter ref="A4:L34" xr:uid="{00000000-0009-0000-0100-000009000000}"/>
  <tableColumns count="12">
    <tableColumn id="1" xr3:uid="{00000000-0010-0000-0800-000001000000}" name="ID"/>
    <tableColumn id="2" xr3:uid="{00000000-0010-0000-0800-000002000000}" name="Tipo"/>
    <tableColumn id="3" xr3:uid="{00000000-0010-0000-0800-000003000000}" name="NombreRazonSocial"/>
    <tableColumn id="4" xr3:uid="{00000000-0010-0000-0800-000004000000}" name="NIT_ID"/>
    <tableColumn id="5" xr3:uid="{00000000-0010-0000-0800-000005000000}" name="Contacto"/>
    <tableColumn id="6" xr3:uid="{00000000-0010-0000-0800-000006000000}" name="Email"/>
    <tableColumn id="7" xr3:uid="{00000000-0010-0000-0800-000007000000}" name="Telefono"/>
    <tableColumn id="8" xr3:uid="{00000000-0010-0000-0800-000008000000}" name="Direccion"/>
    <tableColumn id="9" xr3:uid="{00000000-0010-0000-0800-000009000000}" name="Ciudad"/>
    <tableColumn id="10" xr3:uid="{00000000-0010-0000-0800-00000A000000}" name="Estado"/>
    <tableColumn id="11" xr3:uid="{00000000-0010-0000-0800-00000B000000}" name="Observaciones"/>
    <tableColumn id="12" xr3:uid="{00000000-0010-0000-0800-00000C000000}" name="ClaveDuplic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OCUMENTOS" displayName="DOCUMENTOS" ref="A4:S44">
  <autoFilter ref="A4:S44" xr:uid="{00000000-0009-0000-0100-00000A000000}"/>
  <tableColumns count="19">
    <tableColumn id="1" xr3:uid="{00000000-0010-0000-0900-000001000000}" name="ID"/>
    <tableColumn id="2" xr3:uid="{00000000-0010-0000-0900-000002000000}" name="Fecha"/>
    <tableColumn id="3" xr3:uid="{00000000-0010-0000-0900-000003000000}" name="TipoDocumento"/>
    <tableColumn id="4" xr3:uid="{00000000-0010-0000-0900-000004000000}" name="Numero"/>
    <tableColumn id="5" xr3:uid="{00000000-0010-0000-0900-000005000000}" name="Tercero"/>
    <tableColumn id="6" xr3:uid="{00000000-0010-0000-0900-000006000000}" name="Identificacion"/>
    <tableColumn id="7" xr3:uid="{00000000-0010-0000-0900-000007000000}" name="Subtotal"/>
    <tableColumn id="8" xr3:uid="{00000000-0010-0000-0900-000008000000}" name="Impuestos"/>
    <tableColumn id="9" xr3:uid="{00000000-0010-0000-0900-000009000000}" name="Retenciones"/>
    <tableColumn id="10" xr3:uid="{00000000-0010-0000-0900-00000A000000}" name="Total"/>
    <tableColumn id="11" xr3:uid="{00000000-0010-0000-0900-00000B000000}" name="CUFE_Referencia"/>
    <tableColumn id="12" xr3:uid="{00000000-0010-0000-0900-00000C000000}" name="Estado"/>
    <tableColumn id="13" xr3:uid="{00000000-0010-0000-0900-00000D000000}" name="RutaArchivo"/>
    <tableColumn id="14" xr3:uid="{00000000-0010-0000-0900-00000E000000}" name="NombreArchivo"/>
    <tableColumn id="15" xr3:uid="{00000000-0010-0000-0900-00000F000000}" name="TipoArchivo"/>
    <tableColumn id="16" xr3:uid="{00000000-0010-0000-0900-000010000000}" name="FechaExtraccion"/>
    <tableColumn id="17" xr3:uid="{00000000-0010-0000-0900-000011000000}" name="MetodoExtraccion"/>
    <tableColumn id="18" xr3:uid="{00000000-0010-0000-0900-000012000000}" name="Confianza"/>
    <tableColumn id="19" xr3:uid="{00000000-0010-0000-0900-000013000000}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OVIMIENTOS" displayName="MOVIMIENTOS" ref="A4:R64">
  <autoFilter ref="A4:R64" xr:uid="{00000000-0009-0000-0100-00000B000000}"/>
  <tableColumns count="18">
    <tableColumn id="1" xr3:uid="{00000000-0010-0000-0A00-000001000000}" name="ID"/>
    <tableColumn id="2" xr3:uid="{00000000-0010-0000-0A00-000002000000}" name="Fecha"/>
    <tableColumn id="3" xr3:uid="{00000000-0010-0000-0A00-000003000000}" name="Tipo"/>
    <tableColumn id="4" xr3:uid="{00000000-0010-0000-0A00-000004000000}" name="Documento"/>
    <tableColumn id="5" xr3:uid="{00000000-0010-0000-0A00-000005000000}" name="Tercero"/>
    <tableColumn id="6" xr3:uid="{00000000-0010-0000-0A00-000006000000}" name="NIT_ID"/>
    <tableColumn id="7" xr3:uid="{00000000-0010-0000-0A00-000007000000}" name="Concepto"/>
    <tableColumn id="8" xr3:uid="{00000000-0010-0000-0A00-000008000000}" name="Categoria"/>
    <tableColumn id="9" xr3:uid="{00000000-0010-0000-0A00-000009000000}" name="Subcategoria"/>
    <tableColumn id="10" xr3:uid="{00000000-0010-0000-0A00-00000A000000}" name="MedioPago"/>
    <tableColumn id="11" xr3:uid="{00000000-0010-0000-0A00-00000B000000}" name="Cuenta"/>
    <tableColumn id="12" xr3:uid="{00000000-0010-0000-0A00-00000C000000}" name="Subtotal"/>
    <tableColumn id="13" xr3:uid="{00000000-0010-0000-0A00-00000D000000}" name="Impuestos"/>
    <tableColumn id="14" xr3:uid="{00000000-0010-0000-0A00-00000E000000}" name="Retenciones"/>
    <tableColumn id="15" xr3:uid="{00000000-0010-0000-0A00-00000F000000}" name="Total"/>
    <tableColumn id="16" xr3:uid="{00000000-0010-0000-0A00-000010000000}" name="Estado"/>
    <tableColumn id="17" xr3:uid="{00000000-0010-0000-0A00-000011000000}" name="SoporteID"/>
    <tableColumn id="18" xr3:uid="{00000000-0010-0000-0A00-000012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AGOS" displayName="PAGOS" ref="A4:I24">
  <autoFilter ref="A4:I24" xr:uid="{00000000-0009-0000-0100-00000C000000}"/>
  <tableColumns count="9">
    <tableColumn id="1" xr3:uid="{00000000-0010-0000-0B00-000001000000}" name="ID"/>
    <tableColumn id="2" xr3:uid="{00000000-0010-0000-0B00-000002000000}" name="Fecha"/>
    <tableColumn id="3" xr3:uid="{00000000-0010-0000-0B00-000003000000}" name="MovimientoID"/>
    <tableColumn id="4" xr3:uid="{00000000-0010-0000-0B00-000004000000}" name="Tercero"/>
    <tableColumn id="5" xr3:uid="{00000000-0010-0000-0B00-000005000000}" name="Cuenta"/>
    <tableColumn id="6" xr3:uid="{00000000-0010-0000-0B00-000006000000}" name="MedioPago"/>
    <tableColumn id="7" xr3:uid="{00000000-0010-0000-0B00-000007000000}" name="ValorPagado"/>
    <tableColumn id="8" xr3:uid="{00000000-0010-0000-0B00-000008000000}" name="Estado"/>
    <tableColumn id="9" xr3:uid="{00000000-0010-0000-0B00-000009000000}" name="Observa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OBROS" displayName="COBROS" ref="A4:I24">
  <autoFilter ref="A4:I24" xr:uid="{00000000-0009-0000-0100-00000D000000}"/>
  <tableColumns count="9">
    <tableColumn id="1" xr3:uid="{00000000-0010-0000-0C00-000001000000}" name="ID"/>
    <tableColumn id="2" xr3:uid="{00000000-0010-0000-0C00-000002000000}" name="Fecha"/>
    <tableColumn id="3" xr3:uid="{00000000-0010-0000-0C00-000003000000}" name="MovimientoID"/>
    <tableColumn id="4" xr3:uid="{00000000-0010-0000-0C00-000004000000}" name="Tercero"/>
    <tableColumn id="5" xr3:uid="{00000000-0010-0000-0C00-000005000000}" name="Cuenta"/>
    <tableColumn id="6" xr3:uid="{00000000-0010-0000-0C00-000006000000}" name="MedioPago"/>
    <tableColumn id="7" xr3:uid="{00000000-0010-0000-0C00-000007000000}" name="ValorCobrado"/>
    <tableColumn id="8" xr3:uid="{00000000-0010-0000-0C00-000008000000}" name="Estado"/>
    <tableColumn id="9" xr3:uid="{00000000-0010-0000-0C00-000009000000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UENTAS" displayName="CUENTAS" ref="A4:I8">
  <autoFilter ref="A4:I8" xr:uid="{00000000-0009-0000-0100-00000E000000}"/>
  <tableColumns count="9">
    <tableColumn id="1" xr3:uid="{00000000-0010-0000-0D00-000001000000}" name="ID"/>
    <tableColumn id="2" xr3:uid="{00000000-0010-0000-0D00-000002000000}" name="Cuenta"/>
    <tableColumn id="3" xr3:uid="{00000000-0010-0000-0D00-000003000000}" name="Tipo"/>
    <tableColumn id="4" xr3:uid="{00000000-0010-0000-0D00-000004000000}" name="Entidad"/>
    <tableColumn id="5" xr3:uid="{00000000-0010-0000-0D00-000005000000}" name="NumeroReferencia"/>
    <tableColumn id="6" xr3:uid="{00000000-0010-0000-0D00-000006000000}" name="SaldoInicial"/>
    <tableColumn id="7" xr3:uid="{00000000-0010-0000-0D00-000007000000}" name="SaldoActual"/>
    <tableColumn id="8" xr3:uid="{00000000-0010-0000-0D00-000008000000}" name="Activa"/>
    <tableColumn id="9" xr3:uid="{00000000-0010-0000-0D00-000009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EGLAS_IA" displayName="REGLAS_IA" ref="A4:L104">
  <autoFilter ref="A4:L104" xr:uid="{00000000-0009-0000-0100-00000F000000}"/>
  <tableColumns count="12">
    <tableColumn id="1" xr3:uid="{00000000-0010-0000-0E00-000001000000}" name="ID"/>
    <tableColumn id="2" xr3:uid="{00000000-0010-0000-0E00-000002000000}" name="Activa"/>
    <tableColumn id="3" xr3:uid="{00000000-0010-0000-0E00-000003000000}" name="PalabraClave"/>
    <tableColumn id="4" xr3:uid="{00000000-0010-0000-0E00-000004000000}" name="Tipo"/>
    <tableColumn id="5" xr3:uid="{00000000-0010-0000-0E00-000005000000}" name="Categoria"/>
    <tableColumn id="6" xr3:uid="{00000000-0010-0000-0E00-000006000000}" name="Subcategoria"/>
    <tableColumn id="7" xr3:uid="{00000000-0010-0000-0E00-000007000000}" name="MedioPago"/>
    <tableColumn id="8" xr3:uid="{00000000-0010-0000-0E00-000008000000}" name="Cuenta"/>
    <tableColumn id="9" xr3:uid="{00000000-0010-0000-0E00-000009000000}" name="TerceroOpcional"/>
    <tableColumn id="10" xr3:uid="{00000000-0010-0000-0E00-00000A000000}" name="Prioridad"/>
    <tableColumn id="11" xr3:uid="{00000000-0010-0000-0E00-00000B000000}" name="Coincidencia"/>
    <tableColumn id="12" xr3:uid="{00000000-0010-0000-0E00-00000C000000}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OG" displayName="LOG" ref="A4:I204">
  <autoFilter ref="A4:I204" xr:uid="{00000000-0009-0000-0100-000010000000}"/>
  <tableColumns count="9">
    <tableColumn id="1" xr3:uid="{00000000-0010-0000-0F00-000001000000}" name="Fecha"/>
    <tableColumn id="2" xr3:uid="{00000000-0010-0000-0F00-000002000000}" name="Hora"/>
    <tableColumn id="3" xr3:uid="{00000000-0010-0000-0F00-000003000000}" name="Usuario"/>
    <tableColumn id="4" xr3:uid="{00000000-0010-0000-0F00-000004000000}" name="Accion"/>
    <tableColumn id="5" xr3:uid="{00000000-0010-0000-0F00-000005000000}" name="Modulo"/>
    <tableColumn id="6" xr3:uid="{00000000-0010-0000-0F00-000006000000}" name="RegistroAfectado"/>
    <tableColumn id="7" xr3:uid="{00000000-0010-0000-0F00-000007000000}" name="ValorAnterior"/>
    <tableColumn id="8" xr3:uid="{00000000-0010-0000-0F00-000008000000}" name="ValorNuevo"/>
    <tableColumn id="9" xr3:uid="{00000000-0010-0000-0F00-000009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A5A5A"/>
  </sheetPr>
  <dimension ref="A1:I26"/>
  <sheetViews>
    <sheetView showGridLines="0"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9" width="18" customWidth="1"/>
  </cols>
  <sheetData>
    <row r="1" spans="1:9" ht="21" x14ac:dyDescent="0.35">
      <c r="A1" s="1" t="s">
        <v>0</v>
      </c>
    </row>
    <row r="2" spans="1:9" x14ac:dyDescent="0.25">
      <c r="A2" s="2" t="s">
        <v>1</v>
      </c>
    </row>
    <row r="4" spans="1:9" x14ac:dyDescent="0.25">
      <c r="A4" s="3" t="s">
        <v>2</v>
      </c>
    </row>
    <row r="6" spans="1:9" ht="26.1" customHeight="1" x14ac:dyDescent="0.25">
      <c r="A6" s="32" t="s">
        <v>3</v>
      </c>
      <c r="B6" s="33"/>
      <c r="C6" s="33"/>
      <c r="D6" s="33"/>
      <c r="F6" s="32" t="s">
        <v>4</v>
      </c>
      <c r="G6" s="33"/>
      <c r="H6" s="33"/>
      <c r="I6" s="33"/>
    </row>
    <row r="7" spans="1:9" ht="24" customHeight="1" x14ac:dyDescent="0.25">
      <c r="A7" s="35" t="s">
        <v>5</v>
      </c>
      <c r="B7" s="33"/>
      <c r="C7" s="33"/>
      <c r="D7" s="33"/>
      <c r="F7" s="35" t="s">
        <v>6</v>
      </c>
      <c r="G7" s="33"/>
      <c r="H7" s="33"/>
      <c r="I7" s="33"/>
    </row>
    <row r="8" spans="1:9" ht="18" customHeight="1" x14ac:dyDescent="0.25">
      <c r="A8" s="33"/>
      <c r="B8" s="33"/>
      <c r="C8" s="33"/>
      <c r="D8" s="33"/>
      <c r="F8" s="33"/>
      <c r="G8" s="33"/>
      <c r="H8" s="33"/>
      <c r="I8" s="33"/>
    </row>
    <row r="10" spans="1:9" ht="26.1" customHeight="1" x14ac:dyDescent="0.25">
      <c r="A10" s="32" t="s">
        <v>7</v>
      </c>
      <c r="B10" s="33"/>
      <c r="C10" s="33"/>
      <c r="D10" s="33"/>
      <c r="F10" s="32" t="s">
        <v>8</v>
      </c>
      <c r="G10" s="33"/>
      <c r="H10" s="33"/>
      <c r="I10" s="33"/>
    </row>
    <row r="11" spans="1:9" ht="24" customHeight="1" x14ac:dyDescent="0.25">
      <c r="A11" s="35" t="s">
        <v>9</v>
      </c>
      <c r="B11" s="33"/>
      <c r="C11" s="33"/>
      <c r="D11" s="33"/>
      <c r="F11" s="35" t="s">
        <v>10</v>
      </c>
      <c r="G11" s="33"/>
      <c r="H11" s="33"/>
      <c r="I11" s="33"/>
    </row>
    <row r="12" spans="1:9" ht="18" customHeight="1" x14ac:dyDescent="0.25">
      <c r="A12" s="33"/>
      <c r="B12" s="33"/>
      <c r="C12" s="33"/>
      <c r="D12" s="33"/>
      <c r="F12" s="33"/>
      <c r="G12" s="33"/>
      <c r="H12" s="33"/>
      <c r="I12" s="33"/>
    </row>
    <row r="14" spans="1:9" ht="26.1" customHeight="1" x14ac:dyDescent="0.25">
      <c r="A14" s="32" t="s">
        <v>11</v>
      </c>
      <c r="B14" s="33"/>
      <c r="C14" s="33"/>
      <c r="D14" s="33"/>
      <c r="F14" s="32" t="s">
        <v>12</v>
      </c>
      <c r="G14" s="33"/>
      <c r="H14" s="33"/>
      <c r="I14" s="33"/>
    </row>
    <row r="15" spans="1:9" ht="24" customHeight="1" x14ac:dyDescent="0.25">
      <c r="A15" s="35" t="s">
        <v>13</v>
      </c>
      <c r="B15" s="33"/>
      <c r="C15" s="33"/>
      <c r="D15" s="33"/>
      <c r="F15" s="35" t="s">
        <v>14</v>
      </c>
      <c r="G15" s="33"/>
      <c r="H15" s="33"/>
      <c r="I15" s="33"/>
    </row>
    <row r="16" spans="1:9" ht="18" customHeight="1" x14ac:dyDescent="0.25">
      <c r="A16" s="33"/>
      <c r="B16" s="33"/>
      <c r="C16" s="33"/>
      <c r="D16" s="33"/>
      <c r="F16" s="33"/>
      <c r="G16" s="33"/>
      <c r="H16" s="33"/>
      <c r="I16" s="33"/>
    </row>
    <row r="18" spans="1:9" x14ac:dyDescent="0.25">
      <c r="A18" s="3" t="s">
        <v>15</v>
      </c>
    </row>
    <row r="19" spans="1:9" x14ac:dyDescent="0.25">
      <c r="A19" t="s">
        <v>16</v>
      </c>
    </row>
    <row r="20" spans="1:9" x14ac:dyDescent="0.25">
      <c r="A20" t="s">
        <v>17</v>
      </c>
    </row>
    <row r="21" spans="1:9" x14ac:dyDescent="0.25">
      <c r="A21" t="s">
        <v>18</v>
      </c>
    </row>
    <row r="23" spans="1:9" x14ac:dyDescent="0.25">
      <c r="A23" s="34" t="s">
        <v>19</v>
      </c>
      <c r="B23" s="33"/>
      <c r="C23" s="33"/>
      <c r="D23" s="33"/>
      <c r="E23" s="33"/>
      <c r="F23" s="33"/>
      <c r="G23" s="33"/>
      <c r="H23" s="33"/>
      <c r="I23" s="33"/>
    </row>
    <row r="24" spans="1:9" x14ac:dyDescent="0.25">
      <c r="A24" s="33"/>
      <c r="B24" s="33"/>
      <c r="C24" s="33"/>
      <c r="D24" s="33"/>
      <c r="E24" s="33"/>
      <c r="F24" s="33"/>
      <c r="G24" s="33"/>
      <c r="H24" s="33"/>
      <c r="I24" s="33"/>
    </row>
    <row r="26" spans="1:9" x14ac:dyDescent="0.25">
      <c r="A26" s="4" t="s">
        <v>20</v>
      </c>
      <c r="F26" s="4" t="s">
        <v>21</v>
      </c>
    </row>
  </sheetData>
  <mergeCells count="13">
    <mergeCell ref="F14:I14"/>
    <mergeCell ref="A23:I24"/>
    <mergeCell ref="A6:D6"/>
    <mergeCell ref="A11:D12"/>
    <mergeCell ref="A14:D14"/>
    <mergeCell ref="A15:D16"/>
    <mergeCell ref="A7:D8"/>
    <mergeCell ref="A10:D10"/>
    <mergeCell ref="F7:I8"/>
    <mergeCell ref="F10:I10"/>
    <mergeCell ref="F15:I16"/>
    <mergeCell ref="F6:I6"/>
    <mergeCell ref="F11:I12"/>
  </mergeCells>
  <hyperlinks>
    <hyperlink ref="A6" location="'EMPRESA'!A1" display="1. CONFIGURAR EMPRESA" xr:uid="{00000000-0004-0000-0000-000000000000}"/>
    <hyperlink ref="F6" location="'MOVIMIENTOS'!A1" display="2. REGISTRAR MOVIMIENTO" xr:uid="{00000000-0004-0000-0000-000001000000}"/>
    <hyperlink ref="A10" location="'ASISTENTE'!A1" display="3. ASISTENTE LOCAL" xr:uid="{00000000-0004-0000-0000-000002000000}"/>
    <hyperlink ref="F10" location="'DOCUMENTOS'!A1" display="4. REVISAR DOCUMENTOS" xr:uid="{00000000-0004-0000-0000-000003000000}"/>
    <hyperlink ref="A14" location="'DASHBOARD'!A1" display="5. VER INDICADORES" xr:uid="{00000000-0004-0000-0000-000004000000}"/>
    <hyperlink ref="F14" location="'REPORTE_MENSUAL'!A1" display="6. ABRIR REPORTES" xr:uid="{00000000-0004-0000-0000-000005000000}"/>
    <hyperlink ref="A26" location="'MENU'!A1" display="Ver todos los módulos" xr:uid="{00000000-0004-0000-0000-000006000000}"/>
    <hyperlink ref="F26" location="'REGLAS_IA'!A1" display="Editar reglas del asistente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791F"/>
  </sheetPr>
  <dimension ref="A1:B25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</cols>
  <sheetData>
    <row r="1" spans="1:2" ht="21" x14ac:dyDescent="0.35">
      <c r="A1" s="1" t="s">
        <v>22</v>
      </c>
    </row>
    <row r="2" spans="1:2" x14ac:dyDescent="0.25">
      <c r="A2" s="2" t="s">
        <v>23</v>
      </c>
    </row>
    <row r="4" spans="1:2" x14ac:dyDescent="0.25">
      <c r="A4" s="3" t="s">
        <v>24</v>
      </c>
    </row>
    <row r="5" spans="1:2" x14ac:dyDescent="0.25">
      <c r="A5" t="s">
        <v>25</v>
      </c>
      <c r="B5" s="5"/>
    </row>
    <row r="6" spans="1:2" x14ac:dyDescent="0.25">
      <c r="A6" t="s">
        <v>26</v>
      </c>
      <c r="B6" s="5"/>
    </row>
    <row r="7" spans="1:2" x14ac:dyDescent="0.25">
      <c r="A7" t="s">
        <v>27</v>
      </c>
      <c r="B7" s="5"/>
    </row>
    <row r="8" spans="1:2" x14ac:dyDescent="0.25">
      <c r="A8" t="s">
        <v>28</v>
      </c>
      <c r="B8" s="5"/>
    </row>
    <row r="9" spans="1:2" x14ac:dyDescent="0.25">
      <c r="A9" t="s">
        <v>29</v>
      </c>
      <c r="B9" s="5"/>
    </row>
    <row r="10" spans="1:2" x14ac:dyDescent="0.25">
      <c r="A10" t="s">
        <v>30</v>
      </c>
      <c r="B10" s="5"/>
    </row>
    <row r="11" spans="1:2" x14ac:dyDescent="0.25">
      <c r="A11" t="s">
        <v>31</v>
      </c>
      <c r="B11" s="5"/>
    </row>
    <row r="13" spans="1:2" x14ac:dyDescent="0.25">
      <c r="A13" s="3" t="s">
        <v>32</v>
      </c>
    </row>
    <row r="14" spans="1:2" x14ac:dyDescent="0.25">
      <c r="A14" s="6" t="s">
        <v>33</v>
      </c>
      <c r="B14" s="7">
        <f>SUMPRODUCT(((MOVIMIENTOS!$C$5:$C$10004="Ingreso")+(MOVIMIENTOS!$C$5:$C$10004="Venta"))*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O$5:$O$10004)</f>
        <v>0</v>
      </c>
    </row>
    <row r="15" spans="1:2" x14ac:dyDescent="0.25">
      <c r="A15" s="6" t="s">
        <v>34</v>
      </c>
      <c r="B15" s="7">
        <f>SUMPRODUCT(((MOVIMIENTOS!$C$5:$C$10004="Gasto")+(MOVIMIENTOS!$C$5:$C$10004="Compra"))*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O$5:$O$10004)</f>
        <v>0</v>
      </c>
    </row>
    <row r="16" spans="1:2" x14ac:dyDescent="0.25">
      <c r="A16" s="6" t="s">
        <v>35</v>
      </c>
      <c r="B16" s="7">
        <f>B14-B15</f>
        <v>0</v>
      </c>
    </row>
    <row r="17" spans="1:2" x14ac:dyDescent="0.25">
      <c r="A17" s="6" t="s">
        <v>36</v>
      </c>
      <c r="B17" s="7">
        <f>SUMPRODUCT(((MOVIMIENTOS!$C$5:$C$10004="Ingreso")+(MOVIMIENTOS!$C$5:$C$10004="Venta"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((($B$11="")+($B$11="Pendiente"))*(MOVIMIENTOS!$P$5:$P$10004="Pendiente"))*MOVIMIENTOS!$O$5:$O$10004)</f>
        <v>0</v>
      </c>
    </row>
    <row r="18" spans="1:2" x14ac:dyDescent="0.25">
      <c r="A18" s="6" t="s">
        <v>37</v>
      </c>
      <c r="B18" s="7">
        <f>SUMPRODUCT(((MOVIMIENTOS!$C$5:$C$10004="Gasto")+(MOVIMIENTOS!$C$5:$C$10004="Compra"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((($B$11="")+($B$11="Pendiente"))*(MOVIMIENTOS!$P$5:$P$10004="Pendiente"))*MOVIMIENTOS!$O$5:$O$10004)</f>
        <v>0</v>
      </c>
    </row>
    <row r="19" spans="1:2" x14ac:dyDescent="0.25">
      <c r="A19" s="6" t="s">
        <v>38</v>
      </c>
      <c r="B19" s="7">
        <f>SUMPRODUCT(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M$5:$M$10004)</f>
        <v>0</v>
      </c>
    </row>
    <row r="20" spans="1:2" x14ac:dyDescent="0.25">
      <c r="A20" s="6" t="s">
        <v>39</v>
      </c>
      <c r="B20" s="8">
        <f>SUMPRODUCT((($B$5="")+(YEAR(DOCUMENTOS!$B$5:$B$10004)=$B$5))*(($B$6="")+(MONTH(DOCUMENTOS!$B$5:$B$10004)=$B$6))*(($B$9="")+(DOCUMENTOS!$E$5:$E$10004=$B$9))*(DOCUMENTOS!$L$5:$L$10004="Validado"))</f>
        <v>0</v>
      </c>
    </row>
    <row r="21" spans="1:2" x14ac:dyDescent="0.25">
      <c r="A21" s="6" t="s">
        <v>40</v>
      </c>
      <c r="B21" s="8">
        <f>SUMPRODUCT((($B$5="")+(YEAR(DOCUMENTOS!$B$5:$B$10004)=$B$5))*(($B$6="")+(MONTH(DOCUMENTOS!$B$5:$B$10004)=$B$6))*(($B$9="")+(DOCUMENTOS!$E$5:$E$10004=$B$9))*(((DOCUMENTOS!$L$5:$L$10004="Pendiente")+(DOCUMENTOS!$L$5:$L$10004="Revision Manual"))))</f>
        <v>0</v>
      </c>
    </row>
    <row r="22" spans="1:2" x14ac:dyDescent="0.25">
      <c r="A22" s="6" t="s">
        <v>41</v>
      </c>
      <c r="B22" s="8">
        <f>SUMPRODUCT((($B$5="")+(YEAR(DOCUMENTOS!$B$5:$B$10004)=$B$5))*(($B$6="")+(MONTH(DOCUMENTOS!$B$5:$B$10004)=$B$6))*(($B$9="")+(DOCUMENTOS!$E$5:$E$10004=$B$9))*(((DOCUMENTOS!$L$5:$L$10004="Error")+(DOCUMENTOS!$L$5:$L$10004="Duplicado"))))</f>
        <v>0</v>
      </c>
    </row>
    <row r="24" spans="1:2" x14ac:dyDescent="0.25">
      <c r="A24" s="9" t="s">
        <v>42</v>
      </c>
    </row>
    <row r="25" spans="1:2" x14ac:dyDescent="0.25">
      <c r="A25" s="9" t="s">
        <v>43</v>
      </c>
    </row>
  </sheetData>
  <dataValidations count="7">
    <dataValidation type="whole" allowBlank="1" sqref="B5" xr:uid="{00000000-0002-0000-0100-000000000000}">
      <formula1>1900</formula1>
      <formula2>9999</formula2>
    </dataValidation>
    <dataValidation type="whole" allowBlank="1" sqref="B6" xr:uid="{00000000-0002-0000-0100-000001000000}">
      <formula1>1</formula1>
      <formula2>12</formula2>
    </dataValidation>
    <dataValidation type="list" allowBlank="1" sqref="B7" xr:uid="{00000000-0002-0000-0100-000002000000}">
      <formula1>Lst_TipoMovimiento</formula1>
    </dataValidation>
    <dataValidation type="list" allowBlank="1" sqref="B8" xr:uid="{00000000-0002-0000-0100-000003000000}">
      <formula1>Lst_Categoria</formula1>
    </dataValidation>
    <dataValidation type="list" allowBlank="1" sqref="B9" xr:uid="{00000000-0002-0000-0100-000004000000}">
      <formula1>Lst_TerceroNombre</formula1>
    </dataValidation>
    <dataValidation type="list" allowBlank="1" sqref="B10" xr:uid="{00000000-0002-0000-0100-000005000000}">
      <formula1>Lst_Cuenta</formula1>
    </dataValidation>
    <dataValidation type="list" allowBlank="1" sqref="B11" xr:uid="{00000000-0002-0000-0100-000006000000}">
      <formula1>Lst_EstadoMovimiento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5A5A"/>
  </sheetPr>
  <dimension ref="A1:C40"/>
  <sheetViews>
    <sheetView workbookViewId="0"/>
  </sheetViews>
  <sheetFormatPr baseColWidth="10" defaultColWidth="9.140625" defaultRowHeight="15" x14ac:dyDescent="0.25"/>
  <cols>
    <col min="1" max="1" width="34" customWidth="1"/>
    <col min="2" max="2" width="70" customWidth="1"/>
  </cols>
  <sheetData>
    <row r="1" spans="1:1" ht="21" x14ac:dyDescent="0.35">
      <c r="A1" s="1" t="s">
        <v>44</v>
      </c>
    </row>
    <row r="2" spans="1:1" x14ac:dyDescent="0.25">
      <c r="A2" s="2" t="s">
        <v>45</v>
      </c>
    </row>
    <row r="4" spans="1:1" x14ac:dyDescent="0.25">
      <c r="A4" s="10" t="s">
        <v>46</v>
      </c>
    </row>
    <row r="6" spans="1:1" ht="21.95" customHeight="1" x14ac:dyDescent="0.25">
      <c r="A6" s="11" t="s">
        <v>47</v>
      </c>
    </row>
    <row r="7" spans="1:1" ht="21.95" customHeight="1" x14ac:dyDescent="0.25">
      <c r="A7" s="11" t="s">
        <v>48</v>
      </c>
    </row>
    <row r="8" spans="1:1" ht="21.95" customHeight="1" x14ac:dyDescent="0.25">
      <c r="A8" s="11" t="s">
        <v>49</v>
      </c>
    </row>
    <row r="9" spans="1:1" ht="21.95" customHeight="1" x14ac:dyDescent="0.25">
      <c r="A9" s="11" t="s">
        <v>50</v>
      </c>
    </row>
    <row r="10" spans="1:1" ht="21.95" customHeight="1" x14ac:dyDescent="0.25">
      <c r="A10" s="11" t="s">
        <v>51</v>
      </c>
    </row>
    <row r="11" spans="1:1" ht="21.95" customHeight="1" x14ac:dyDescent="0.25">
      <c r="A11" s="11" t="s">
        <v>52</v>
      </c>
    </row>
    <row r="12" spans="1:1" ht="21.95" customHeight="1" x14ac:dyDescent="0.25">
      <c r="A12" s="11" t="s">
        <v>53</v>
      </c>
    </row>
    <row r="13" spans="1:1" ht="21.95" customHeight="1" x14ac:dyDescent="0.25">
      <c r="A13" s="11" t="s">
        <v>54</v>
      </c>
    </row>
    <row r="14" spans="1:1" ht="21.95" customHeight="1" x14ac:dyDescent="0.25">
      <c r="A14" s="11" t="s">
        <v>55</v>
      </c>
    </row>
    <row r="15" spans="1:1" ht="21.95" customHeight="1" x14ac:dyDescent="0.25">
      <c r="A15" s="11" t="s">
        <v>56</v>
      </c>
    </row>
    <row r="16" spans="1:1" ht="21.95" customHeight="1" x14ac:dyDescent="0.25">
      <c r="A16" s="11" t="s">
        <v>57</v>
      </c>
    </row>
    <row r="17" spans="1:3" ht="21.95" customHeight="1" x14ac:dyDescent="0.25">
      <c r="A17" s="11" t="s">
        <v>58</v>
      </c>
    </row>
    <row r="18" spans="1:3" ht="21.95" customHeight="1" x14ac:dyDescent="0.25">
      <c r="A18" s="11" t="s">
        <v>59</v>
      </c>
    </row>
    <row r="19" spans="1:3" ht="21.95" customHeight="1" x14ac:dyDescent="0.25">
      <c r="A19" s="11" t="s">
        <v>60</v>
      </c>
    </row>
    <row r="20" spans="1:3" ht="21.95" customHeight="1" x14ac:dyDescent="0.25">
      <c r="A20" s="11" t="s">
        <v>22</v>
      </c>
    </row>
    <row r="21" spans="1:3" ht="21.95" customHeight="1" x14ac:dyDescent="0.25">
      <c r="A21" s="11" t="s">
        <v>61</v>
      </c>
    </row>
    <row r="22" spans="1:3" ht="21.95" customHeight="1" x14ac:dyDescent="0.25">
      <c r="A22" s="11" t="s">
        <v>62</v>
      </c>
    </row>
    <row r="23" spans="1:3" ht="21.95" customHeight="1" x14ac:dyDescent="0.25">
      <c r="A23" s="11" t="s">
        <v>63</v>
      </c>
    </row>
    <row r="26" spans="1:3" x14ac:dyDescent="0.25">
      <c r="A26" s="3" t="s">
        <v>64</v>
      </c>
    </row>
    <row r="27" spans="1:3" x14ac:dyDescent="0.25">
      <c r="A27" s="36" t="s">
        <v>65</v>
      </c>
      <c r="B27" s="33"/>
      <c r="C27" s="33"/>
    </row>
    <row r="29" spans="1:3" x14ac:dyDescent="0.25">
      <c r="A29" s="6" t="s">
        <v>66</v>
      </c>
      <c r="B29" s="6" t="s">
        <v>67</v>
      </c>
    </row>
    <row r="30" spans="1:3" x14ac:dyDescent="0.25">
      <c r="A30" s="12" t="s">
        <v>68</v>
      </c>
      <c r="B30" s="13" t="s">
        <v>69</v>
      </c>
    </row>
    <row r="31" spans="1:3" x14ac:dyDescent="0.25">
      <c r="A31" s="12" t="s">
        <v>70</v>
      </c>
      <c r="B31" s="13" t="s">
        <v>71</v>
      </c>
    </row>
    <row r="32" spans="1:3" x14ac:dyDescent="0.25">
      <c r="A32" s="12" t="s">
        <v>72</v>
      </c>
      <c r="B32" s="13" t="s">
        <v>73</v>
      </c>
    </row>
    <row r="33" spans="1:2" x14ac:dyDescent="0.25">
      <c r="A33" s="12" t="s">
        <v>74</v>
      </c>
      <c r="B33" s="13" t="s">
        <v>75</v>
      </c>
    </row>
    <row r="34" spans="1:2" x14ac:dyDescent="0.25">
      <c r="A34" s="12" t="s">
        <v>76</v>
      </c>
      <c r="B34" s="13" t="s">
        <v>77</v>
      </c>
    </row>
    <row r="35" spans="1:2" x14ac:dyDescent="0.25">
      <c r="A35" s="12" t="s">
        <v>78</v>
      </c>
      <c r="B35" s="13" t="s">
        <v>79</v>
      </c>
    </row>
    <row r="36" spans="1:2" x14ac:dyDescent="0.25">
      <c r="A36" s="12" t="s">
        <v>80</v>
      </c>
      <c r="B36" s="13" t="s">
        <v>81</v>
      </c>
    </row>
    <row r="37" spans="1:2" x14ac:dyDescent="0.25">
      <c r="A37" s="12" t="s">
        <v>82</v>
      </c>
      <c r="B37" s="13" t="s">
        <v>83</v>
      </c>
    </row>
    <row r="38" spans="1:2" x14ac:dyDescent="0.25">
      <c r="A38" s="12" t="s">
        <v>84</v>
      </c>
      <c r="B38" s="13" t="s">
        <v>85</v>
      </c>
    </row>
    <row r="39" spans="1:2" x14ac:dyDescent="0.25">
      <c r="A39" s="12" t="s">
        <v>86</v>
      </c>
      <c r="B39" s="13" t="s">
        <v>87</v>
      </c>
    </row>
    <row r="40" spans="1:2" x14ac:dyDescent="0.25">
      <c r="A40" s="12" t="s">
        <v>88</v>
      </c>
      <c r="B40" s="13" t="s">
        <v>89</v>
      </c>
    </row>
  </sheetData>
  <mergeCells count="1">
    <mergeCell ref="A27:C27"/>
  </mergeCells>
  <hyperlinks>
    <hyperlink ref="A6" location="INICIO!A1" display="INICIO" xr:uid="{00000000-0004-0000-0200-000000000000}"/>
    <hyperlink ref="A7" location="EMPRESA!A1" display="CONFIGURAR EMPRESA" xr:uid="{00000000-0004-0000-0200-000001000000}"/>
    <hyperlink ref="A8" location="PARAMETROS!A1" display="PARAMETROS" xr:uid="{00000000-0004-0000-0200-000002000000}"/>
    <hyperlink ref="A9" location="CATEGORIAS!A1" display="CATEGORIAS" xr:uid="{00000000-0004-0000-0200-000003000000}"/>
    <hyperlink ref="A10" location="IMPUESTOS!A1" display="IMPUESTOS" xr:uid="{00000000-0004-0000-0200-000004000000}"/>
    <hyperlink ref="A11" location="CUENTAS!A1" display="CUENTAS" xr:uid="{00000000-0004-0000-0200-000005000000}"/>
    <hyperlink ref="A12" location="TIPOS_DOCUMENTOS!A1" display="TIPOS DE DOCUMENTO" xr:uid="{00000000-0004-0000-0200-000006000000}"/>
    <hyperlink ref="A13" location="TERCEROS!A1" display="TERCEROS" xr:uid="{00000000-0004-0000-0200-000007000000}"/>
    <hyperlink ref="A14" location="ASISTENTE!A1" display="ASISTENTE DE CLASIFICACION" xr:uid="{00000000-0004-0000-0200-000008000000}"/>
    <hyperlink ref="A15" location="REGLAS_IA!A1" display="REGLAS DEL ASISTENTE" xr:uid="{00000000-0004-0000-0200-000009000000}"/>
    <hyperlink ref="A16" location="DOCUMENTOS!A1" display="DOCUMENTOS" xr:uid="{00000000-0004-0000-0200-00000A000000}"/>
    <hyperlink ref="A17" location="MOVIMIENTOS!A1" display="REGISTRAR MOVIMIENTO" xr:uid="{00000000-0004-0000-0200-00000B000000}"/>
    <hyperlink ref="A18" location="PAGOS!A1" display="PAGOS" xr:uid="{00000000-0004-0000-0200-00000C000000}"/>
    <hyperlink ref="A19" location="COBROS!A1" display="COBROS" xr:uid="{00000000-0004-0000-0200-00000D000000}"/>
    <hyperlink ref="A20" location="DASHBOARD!A1" display="DASHBOARD" xr:uid="{00000000-0004-0000-0200-00000E000000}"/>
    <hyperlink ref="A21" location="REPORTE_MENSUAL!A1" display="REPORTE MENSUAL" xr:uid="{00000000-0004-0000-0200-00000F000000}"/>
    <hyperlink ref="A22" location="REPORTE_ANUAL!A1" display="REPORTE ANUAL" xr:uid="{00000000-0004-0000-0200-000010000000}"/>
    <hyperlink ref="A23" location="LOG!A1" display="LOG DE AUDITORIA" xr:uid="{00000000-0004-0000-0200-00001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B17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5" customWidth="1"/>
  </cols>
  <sheetData>
    <row r="1" spans="1:2" ht="21" x14ac:dyDescent="0.35">
      <c r="A1" s="1" t="s">
        <v>90</v>
      </c>
    </row>
    <row r="2" spans="1:2" x14ac:dyDescent="0.25">
      <c r="A2" s="2" t="s">
        <v>91</v>
      </c>
    </row>
    <row r="4" spans="1:2" ht="27.95" customHeight="1" x14ac:dyDescent="0.25">
      <c r="A4" s="14" t="s">
        <v>92</v>
      </c>
      <c r="B4" s="14" t="s">
        <v>93</v>
      </c>
    </row>
    <row r="5" spans="1:2" x14ac:dyDescent="0.25">
      <c r="A5" s="6" t="s">
        <v>94</v>
      </c>
      <c r="B5" t="s">
        <v>95</v>
      </c>
    </row>
    <row r="6" spans="1:2" x14ac:dyDescent="0.25">
      <c r="A6" s="6" t="s">
        <v>96</v>
      </c>
      <c r="B6" t="s">
        <v>97</v>
      </c>
    </row>
    <row r="7" spans="1:2" x14ac:dyDescent="0.25">
      <c r="A7" s="6" t="s">
        <v>98</v>
      </c>
      <c r="B7" t="s">
        <v>99</v>
      </c>
    </row>
    <row r="8" spans="1:2" x14ac:dyDescent="0.25">
      <c r="A8" s="6" t="s">
        <v>100</v>
      </c>
      <c r="B8" t="s">
        <v>101</v>
      </c>
    </row>
    <row r="9" spans="1:2" x14ac:dyDescent="0.25">
      <c r="A9" s="6" t="s">
        <v>102</v>
      </c>
      <c r="B9" t="s">
        <v>103</v>
      </c>
    </row>
    <row r="10" spans="1:2" x14ac:dyDescent="0.25">
      <c r="A10" s="6" t="s">
        <v>104</v>
      </c>
    </row>
    <row r="11" spans="1:2" x14ac:dyDescent="0.25">
      <c r="A11" s="6" t="s">
        <v>105</v>
      </c>
    </row>
    <row r="12" spans="1:2" x14ac:dyDescent="0.25">
      <c r="A12" s="6" t="s">
        <v>106</v>
      </c>
    </row>
    <row r="13" spans="1:2" x14ac:dyDescent="0.25">
      <c r="A13" s="6" t="s">
        <v>107</v>
      </c>
    </row>
    <row r="14" spans="1:2" x14ac:dyDescent="0.25">
      <c r="A14" s="6" t="s">
        <v>108</v>
      </c>
      <c r="B14" t="s">
        <v>109</v>
      </c>
    </row>
    <row r="15" spans="1:2" x14ac:dyDescent="0.25">
      <c r="A15" s="6" t="s">
        <v>110</v>
      </c>
      <c r="B15" t="s">
        <v>111</v>
      </c>
    </row>
    <row r="16" spans="1:2" x14ac:dyDescent="0.25">
      <c r="A16" s="6" t="s">
        <v>112</v>
      </c>
    </row>
    <row r="17" spans="1:1" x14ac:dyDescent="0.25">
      <c r="A17" s="6" t="s">
        <v>113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E11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5" customWidth="1"/>
    <col min="3" max="4" width="12" customWidth="1"/>
    <col min="5" max="5" width="17" customWidth="1"/>
  </cols>
  <sheetData>
    <row r="1" spans="1:5" ht="21" x14ac:dyDescent="0.35">
      <c r="A1" s="1" t="s">
        <v>49</v>
      </c>
    </row>
    <row r="2" spans="1:5" x14ac:dyDescent="0.25">
      <c r="A2" s="2" t="s">
        <v>114</v>
      </c>
    </row>
    <row r="4" spans="1:5" ht="27.95" customHeight="1" x14ac:dyDescent="0.25">
      <c r="A4" s="14" t="s">
        <v>115</v>
      </c>
      <c r="B4" s="14" t="s">
        <v>116</v>
      </c>
      <c r="C4" s="14" t="s">
        <v>93</v>
      </c>
      <c r="D4" s="14" t="s">
        <v>117</v>
      </c>
      <c r="E4" s="14" t="s">
        <v>118</v>
      </c>
    </row>
    <row r="5" spans="1:5" x14ac:dyDescent="0.25">
      <c r="A5" t="s">
        <v>119</v>
      </c>
      <c r="B5" t="s">
        <v>120</v>
      </c>
      <c r="C5">
        <v>0</v>
      </c>
      <c r="D5" t="s">
        <v>121</v>
      </c>
      <c r="E5" t="s">
        <v>122</v>
      </c>
    </row>
    <row r="6" spans="1:5" x14ac:dyDescent="0.25">
      <c r="A6" t="s">
        <v>123</v>
      </c>
      <c r="B6" t="s">
        <v>124</v>
      </c>
      <c r="C6" t="s">
        <v>125</v>
      </c>
      <c r="D6" t="s">
        <v>126</v>
      </c>
      <c r="E6" t="s">
        <v>127</v>
      </c>
    </row>
    <row r="7" spans="1:5" x14ac:dyDescent="0.25">
      <c r="A7" t="s">
        <v>128</v>
      </c>
      <c r="B7" t="s">
        <v>129</v>
      </c>
      <c r="C7" t="s">
        <v>130</v>
      </c>
      <c r="D7" t="s">
        <v>126</v>
      </c>
      <c r="E7" t="s">
        <v>131</v>
      </c>
    </row>
    <row r="8" spans="1:5" x14ac:dyDescent="0.25">
      <c r="A8" t="s">
        <v>132</v>
      </c>
      <c r="B8" t="s">
        <v>133</v>
      </c>
      <c r="C8" t="s">
        <v>134</v>
      </c>
      <c r="D8" t="s">
        <v>126</v>
      </c>
      <c r="E8" t="s">
        <v>135</v>
      </c>
    </row>
    <row r="9" spans="1:5" x14ac:dyDescent="0.25">
      <c r="A9" t="s">
        <v>136</v>
      </c>
      <c r="B9" t="s">
        <v>137</v>
      </c>
      <c r="C9">
        <v>5</v>
      </c>
      <c r="D9" t="s">
        <v>121</v>
      </c>
      <c r="E9" t="s">
        <v>138</v>
      </c>
    </row>
    <row r="10" spans="1:5" x14ac:dyDescent="0.25">
      <c r="A10" t="s">
        <v>139</v>
      </c>
      <c r="B10" t="s">
        <v>140</v>
      </c>
      <c r="C10" t="s">
        <v>141</v>
      </c>
      <c r="D10" t="s">
        <v>126</v>
      </c>
      <c r="E10" t="s">
        <v>142</v>
      </c>
    </row>
    <row r="11" spans="1:5" x14ac:dyDescent="0.25">
      <c r="A11" t="s">
        <v>143</v>
      </c>
      <c r="B11" t="s">
        <v>144</v>
      </c>
      <c r="C11" t="s">
        <v>145</v>
      </c>
      <c r="D11" t="s">
        <v>126</v>
      </c>
      <c r="E11" t="s">
        <v>146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F16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5" customWidth="1"/>
    <col min="4" max="4" width="18" customWidth="1"/>
    <col min="5" max="5" width="12" customWidth="1"/>
    <col min="6" max="6" width="17" customWidth="1"/>
  </cols>
  <sheetData>
    <row r="1" spans="1:6" ht="21" x14ac:dyDescent="0.35">
      <c r="A1" s="1" t="s">
        <v>50</v>
      </c>
    </row>
    <row r="2" spans="1:6" x14ac:dyDescent="0.25">
      <c r="A2" s="2" t="s">
        <v>147</v>
      </c>
    </row>
    <row r="4" spans="1:6" ht="27.95" customHeight="1" x14ac:dyDescent="0.25">
      <c r="A4" s="14" t="s">
        <v>115</v>
      </c>
      <c r="B4" s="14" t="s">
        <v>117</v>
      </c>
      <c r="C4" s="14" t="s">
        <v>148</v>
      </c>
      <c r="D4" s="14" t="s">
        <v>149</v>
      </c>
      <c r="E4" s="14" t="s">
        <v>150</v>
      </c>
      <c r="F4" s="14" t="s">
        <v>118</v>
      </c>
    </row>
    <row r="5" spans="1:6" x14ac:dyDescent="0.25">
      <c r="A5" t="s">
        <v>151</v>
      </c>
      <c r="B5" t="s">
        <v>152</v>
      </c>
      <c r="C5" t="s">
        <v>153</v>
      </c>
      <c r="D5" t="s">
        <v>154</v>
      </c>
      <c r="E5" t="s">
        <v>155</v>
      </c>
    </row>
    <row r="6" spans="1:6" x14ac:dyDescent="0.25">
      <c r="A6" t="s">
        <v>156</v>
      </c>
      <c r="B6" t="s">
        <v>152</v>
      </c>
      <c r="C6" t="s">
        <v>153</v>
      </c>
      <c r="D6" t="s">
        <v>157</v>
      </c>
      <c r="E6" t="s">
        <v>155</v>
      </c>
    </row>
    <row r="7" spans="1:6" x14ac:dyDescent="0.25">
      <c r="A7" t="s">
        <v>158</v>
      </c>
      <c r="B7" t="s">
        <v>152</v>
      </c>
      <c r="C7" t="s">
        <v>159</v>
      </c>
      <c r="D7" t="s">
        <v>160</v>
      </c>
      <c r="E7" t="s">
        <v>155</v>
      </c>
    </row>
    <row r="8" spans="1:6" x14ac:dyDescent="0.25">
      <c r="A8" t="s">
        <v>161</v>
      </c>
      <c r="B8" t="s">
        <v>162</v>
      </c>
      <c r="C8" t="s">
        <v>163</v>
      </c>
      <c r="D8" t="s">
        <v>164</v>
      </c>
      <c r="E8" t="s">
        <v>155</v>
      </c>
    </row>
    <row r="9" spans="1:6" x14ac:dyDescent="0.25">
      <c r="A9" t="s">
        <v>165</v>
      </c>
      <c r="B9" t="s">
        <v>162</v>
      </c>
      <c r="C9" t="s">
        <v>163</v>
      </c>
      <c r="D9" t="s">
        <v>166</v>
      </c>
      <c r="E9" t="s">
        <v>155</v>
      </c>
    </row>
    <row r="10" spans="1:6" x14ac:dyDescent="0.25">
      <c r="A10" t="s">
        <v>167</v>
      </c>
      <c r="B10" t="s">
        <v>162</v>
      </c>
      <c r="C10" t="s">
        <v>168</v>
      </c>
      <c r="D10" t="s">
        <v>169</v>
      </c>
      <c r="E10" t="s">
        <v>155</v>
      </c>
    </row>
    <row r="11" spans="1:6" x14ac:dyDescent="0.25">
      <c r="A11" t="s">
        <v>170</v>
      </c>
      <c r="B11" t="s">
        <v>162</v>
      </c>
      <c r="C11" t="s">
        <v>168</v>
      </c>
      <c r="D11" t="s">
        <v>171</v>
      </c>
      <c r="E11" t="s">
        <v>155</v>
      </c>
    </row>
    <row r="12" spans="1:6" x14ac:dyDescent="0.25">
      <c r="A12" t="s">
        <v>172</v>
      </c>
      <c r="B12" t="s">
        <v>162</v>
      </c>
      <c r="C12" t="s">
        <v>173</v>
      </c>
      <c r="D12" t="s">
        <v>174</v>
      </c>
      <c r="E12" t="s">
        <v>155</v>
      </c>
    </row>
    <row r="13" spans="1:6" x14ac:dyDescent="0.25">
      <c r="A13" t="s">
        <v>175</v>
      </c>
      <c r="B13" t="s">
        <v>176</v>
      </c>
      <c r="C13" t="s">
        <v>177</v>
      </c>
      <c r="D13" t="s">
        <v>178</v>
      </c>
      <c r="E13" t="s">
        <v>155</v>
      </c>
    </row>
    <row r="14" spans="1:6" x14ac:dyDescent="0.25">
      <c r="A14" t="s">
        <v>179</v>
      </c>
      <c r="B14" t="s">
        <v>176</v>
      </c>
      <c r="C14" t="s">
        <v>180</v>
      </c>
      <c r="D14" t="s">
        <v>181</v>
      </c>
      <c r="E14" t="s">
        <v>155</v>
      </c>
    </row>
    <row r="15" spans="1:6" x14ac:dyDescent="0.25">
      <c r="A15" t="s">
        <v>182</v>
      </c>
      <c r="B15" t="s">
        <v>183</v>
      </c>
      <c r="C15" t="s">
        <v>154</v>
      </c>
      <c r="D15" t="s">
        <v>184</v>
      </c>
      <c r="E15" t="s">
        <v>155</v>
      </c>
    </row>
    <row r="16" spans="1:6" x14ac:dyDescent="0.25">
      <c r="A16" t="s">
        <v>185</v>
      </c>
      <c r="B16" t="s">
        <v>186</v>
      </c>
      <c r="C16" t="s">
        <v>187</v>
      </c>
      <c r="D16" t="s">
        <v>187</v>
      </c>
      <c r="E16" t="s">
        <v>155</v>
      </c>
      <c r="F16" t="s">
        <v>188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H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6" customWidth="1"/>
    <col min="4" max="5" width="12" customWidth="1"/>
    <col min="6" max="6" width="20" customWidth="1"/>
    <col min="7" max="7" width="12" customWidth="1"/>
    <col min="8" max="8" width="19" customWidth="1"/>
  </cols>
  <sheetData>
    <row r="1" spans="1:8" ht="21" x14ac:dyDescent="0.35">
      <c r="A1" s="1" t="s">
        <v>51</v>
      </c>
    </row>
    <row r="2" spans="1:8" x14ac:dyDescent="0.25">
      <c r="A2" s="2" t="s">
        <v>189</v>
      </c>
    </row>
    <row r="4" spans="1:8" ht="27.95" customHeight="1" x14ac:dyDescent="0.25">
      <c r="A4" s="14" t="s">
        <v>115</v>
      </c>
      <c r="B4" s="14" t="s">
        <v>190</v>
      </c>
      <c r="C4" s="14" t="s">
        <v>191</v>
      </c>
      <c r="D4" s="14" t="s">
        <v>117</v>
      </c>
      <c r="E4" s="14" t="s">
        <v>192</v>
      </c>
      <c r="F4" s="14" t="s">
        <v>193</v>
      </c>
      <c r="G4" s="14" t="s">
        <v>194</v>
      </c>
      <c r="H4" s="14" t="s">
        <v>195</v>
      </c>
    </row>
    <row r="5" spans="1:8" x14ac:dyDescent="0.25">
      <c r="A5" t="s">
        <v>196</v>
      </c>
      <c r="B5" t="s">
        <v>197</v>
      </c>
      <c r="C5" s="15">
        <v>0</v>
      </c>
      <c r="D5" t="s">
        <v>190</v>
      </c>
      <c r="E5" t="s">
        <v>198</v>
      </c>
      <c r="G5" t="s">
        <v>155</v>
      </c>
      <c r="H5" t="s">
        <v>199</v>
      </c>
    </row>
    <row r="6" spans="1:8" x14ac:dyDescent="0.25">
      <c r="A6" t="s">
        <v>200</v>
      </c>
      <c r="B6" t="s">
        <v>201</v>
      </c>
      <c r="C6" s="15">
        <v>0</v>
      </c>
      <c r="D6" t="s">
        <v>202</v>
      </c>
      <c r="E6" t="s">
        <v>198</v>
      </c>
      <c r="G6" t="s">
        <v>155</v>
      </c>
      <c r="H6" t="s">
        <v>199</v>
      </c>
    </row>
    <row r="7" spans="1:8" x14ac:dyDescent="0.25">
      <c r="A7" t="s">
        <v>203</v>
      </c>
      <c r="B7" t="s">
        <v>204</v>
      </c>
      <c r="C7" s="15">
        <v>0</v>
      </c>
      <c r="D7" t="s">
        <v>202</v>
      </c>
      <c r="E7" t="s">
        <v>198</v>
      </c>
      <c r="G7" t="s">
        <v>155</v>
      </c>
      <c r="H7" t="s">
        <v>199</v>
      </c>
    </row>
    <row r="8" spans="1:8" x14ac:dyDescent="0.25">
      <c r="A8" t="s">
        <v>205</v>
      </c>
      <c r="B8" t="s">
        <v>206</v>
      </c>
      <c r="C8" s="15">
        <v>0</v>
      </c>
      <c r="D8" t="s">
        <v>202</v>
      </c>
      <c r="E8" t="s">
        <v>198</v>
      </c>
      <c r="G8" t="s">
        <v>155</v>
      </c>
      <c r="H8" t="s">
        <v>199</v>
      </c>
    </row>
    <row r="9" spans="1:8" x14ac:dyDescent="0.25">
      <c r="A9" t="s">
        <v>207</v>
      </c>
      <c r="B9" t="s">
        <v>208</v>
      </c>
      <c r="C9" s="15">
        <v>0</v>
      </c>
      <c r="D9" t="s">
        <v>190</v>
      </c>
      <c r="E9" t="s">
        <v>33</v>
      </c>
      <c r="G9" t="s">
        <v>155</v>
      </c>
      <c r="H9" t="s">
        <v>199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F15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13" customWidth="1"/>
    <col min="4" max="4" width="18" customWidth="1"/>
    <col min="5" max="5" width="12" customWidth="1"/>
    <col min="6" max="6" width="17" customWidth="1"/>
  </cols>
  <sheetData>
    <row r="1" spans="1:6" ht="21" x14ac:dyDescent="0.35">
      <c r="A1" s="1" t="s">
        <v>209</v>
      </c>
    </row>
    <row r="2" spans="1:6" x14ac:dyDescent="0.25">
      <c r="A2" s="2" t="s">
        <v>210</v>
      </c>
    </row>
    <row r="4" spans="1:6" ht="27.95" customHeight="1" x14ac:dyDescent="0.25">
      <c r="A4" s="14" t="s">
        <v>115</v>
      </c>
      <c r="B4" s="14" t="s">
        <v>211</v>
      </c>
      <c r="C4" s="14" t="s">
        <v>212</v>
      </c>
      <c r="D4" s="14" t="s">
        <v>213</v>
      </c>
      <c r="E4" s="14" t="s">
        <v>194</v>
      </c>
      <c r="F4" s="14" t="s">
        <v>118</v>
      </c>
    </row>
    <row r="5" spans="1:6" x14ac:dyDescent="0.25">
      <c r="A5" t="s">
        <v>214</v>
      </c>
      <c r="B5" t="s">
        <v>215</v>
      </c>
      <c r="C5" t="s">
        <v>216</v>
      </c>
      <c r="D5" t="s">
        <v>155</v>
      </c>
      <c r="E5" t="s">
        <v>155</v>
      </c>
    </row>
    <row r="6" spans="1:6" x14ac:dyDescent="0.25">
      <c r="A6" t="s">
        <v>217</v>
      </c>
      <c r="B6" t="s">
        <v>218</v>
      </c>
      <c r="C6" t="s">
        <v>219</v>
      </c>
      <c r="D6" t="s">
        <v>103</v>
      </c>
      <c r="E6" t="s">
        <v>155</v>
      </c>
    </row>
    <row r="7" spans="1:6" x14ac:dyDescent="0.25">
      <c r="A7" t="s">
        <v>220</v>
      </c>
      <c r="B7" t="s">
        <v>221</v>
      </c>
      <c r="C7" t="s">
        <v>222</v>
      </c>
      <c r="D7" t="s">
        <v>103</v>
      </c>
      <c r="E7" t="s">
        <v>155</v>
      </c>
      <c r="F7" t="s">
        <v>223</v>
      </c>
    </row>
    <row r="8" spans="1:6" x14ac:dyDescent="0.25">
      <c r="A8" t="s">
        <v>224</v>
      </c>
      <c r="B8" t="s">
        <v>225</v>
      </c>
      <c r="C8" t="s">
        <v>226</v>
      </c>
      <c r="D8" t="s">
        <v>155</v>
      </c>
      <c r="E8" t="s">
        <v>155</v>
      </c>
    </row>
    <row r="9" spans="1:6" x14ac:dyDescent="0.25">
      <c r="A9" t="s">
        <v>227</v>
      </c>
      <c r="B9" t="s">
        <v>228</v>
      </c>
      <c r="C9" t="s">
        <v>229</v>
      </c>
      <c r="D9" t="s">
        <v>155</v>
      </c>
      <c r="E9" t="s">
        <v>155</v>
      </c>
    </row>
    <row r="10" spans="1:6" x14ac:dyDescent="0.25">
      <c r="A10" t="s">
        <v>230</v>
      </c>
      <c r="B10" t="s">
        <v>231</v>
      </c>
      <c r="C10" t="s">
        <v>232</v>
      </c>
      <c r="D10" t="s">
        <v>103</v>
      </c>
      <c r="E10" t="s">
        <v>155</v>
      </c>
    </row>
    <row r="11" spans="1:6" x14ac:dyDescent="0.25">
      <c r="A11" t="s">
        <v>233</v>
      </c>
      <c r="B11" t="s">
        <v>234</v>
      </c>
      <c r="C11" t="s">
        <v>235</v>
      </c>
      <c r="D11" t="s">
        <v>103</v>
      </c>
      <c r="E11" t="s">
        <v>155</v>
      </c>
    </row>
    <row r="12" spans="1:6" x14ac:dyDescent="0.25">
      <c r="A12" t="s">
        <v>236</v>
      </c>
      <c r="B12" t="s">
        <v>237</v>
      </c>
      <c r="C12" t="s">
        <v>238</v>
      </c>
      <c r="D12" t="s">
        <v>103</v>
      </c>
      <c r="E12" t="s">
        <v>155</v>
      </c>
    </row>
    <row r="13" spans="1:6" x14ac:dyDescent="0.25">
      <c r="A13" t="s">
        <v>239</v>
      </c>
      <c r="B13" t="s">
        <v>173</v>
      </c>
      <c r="C13" t="s">
        <v>240</v>
      </c>
      <c r="D13" t="s">
        <v>103</v>
      </c>
      <c r="E13" t="s">
        <v>155</v>
      </c>
    </row>
    <row r="14" spans="1:6" x14ac:dyDescent="0.25">
      <c r="A14" t="s">
        <v>241</v>
      </c>
      <c r="B14" t="s">
        <v>242</v>
      </c>
      <c r="C14" t="s">
        <v>243</v>
      </c>
      <c r="D14" t="s">
        <v>103</v>
      </c>
      <c r="E14" t="s">
        <v>155</v>
      </c>
    </row>
    <row r="15" spans="1:6" x14ac:dyDescent="0.25">
      <c r="A15" t="s">
        <v>244</v>
      </c>
      <c r="B15" t="s">
        <v>186</v>
      </c>
      <c r="C15" t="s">
        <v>245</v>
      </c>
      <c r="D15" t="s">
        <v>103</v>
      </c>
      <c r="E15" t="s">
        <v>155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</sheetPr>
  <dimension ref="A1:E15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4" width="12" customWidth="1"/>
    <col min="5" max="5" width="17" customWidth="1"/>
  </cols>
  <sheetData>
    <row r="1" spans="1:5" ht="21" x14ac:dyDescent="0.35">
      <c r="A1" s="1" t="s">
        <v>246</v>
      </c>
    </row>
    <row r="2" spans="1:5" x14ac:dyDescent="0.25">
      <c r="A2" s="2" t="s">
        <v>247</v>
      </c>
    </row>
    <row r="4" spans="1:5" ht="27.95" customHeight="1" x14ac:dyDescent="0.25">
      <c r="A4" s="14" t="s">
        <v>115</v>
      </c>
      <c r="B4" s="14" t="s">
        <v>248</v>
      </c>
      <c r="C4" s="14" t="s">
        <v>249</v>
      </c>
      <c r="D4" s="14" t="s">
        <v>194</v>
      </c>
      <c r="E4" s="14" t="s">
        <v>118</v>
      </c>
    </row>
    <row r="5" spans="1:5" x14ac:dyDescent="0.25">
      <c r="A5" t="s">
        <v>250</v>
      </c>
      <c r="B5" t="s">
        <v>251</v>
      </c>
      <c r="C5" t="s">
        <v>252</v>
      </c>
      <c r="D5" t="s">
        <v>155</v>
      </c>
    </row>
    <row r="6" spans="1:5" x14ac:dyDescent="0.25">
      <c r="A6" t="s">
        <v>253</v>
      </c>
      <c r="B6" t="s">
        <v>254</v>
      </c>
      <c r="C6" t="s">
        <v>252</v>
      </c>
      <c r="D6" t="s">
        <v>155</v>
      </c>
    </row>
    <row r="7" spans="1:5" x14ac:dyDescent="0.25">
      <c r="A7" t="s">
        <v>255</v>
      </c>
      <c r="B7" t="s">
        <v>256</v>
      </c>
      <c r="C7" t="s">
        <v>252</v>
      </c>
      <c r="D7" t="s">
        <v>155</v>
      </c>
    </row>
    <row r="8" spans="1:5" x14ac:dyDescent="0.25">
      <c r="A8" t="s">
        <v>257</v>
      </c>
      <c r="B8" t="s">
        <v>258</v>
      </c>
      <c r="C8" t="s">
        <v>259</v>
      </c>
      <c r="D8" t="s">
        <v>155</v>
      </c>
    </row>
    <row r="9" spans="1:5" x14ac:dyDescent="0.25">
      <c r="A9" t="s">
        <v>260</v>
      </c>
      <c r="B9" t="s">
        <v>251</v>
      </c>
      <c r="C9" t="s">
        <v>259</v>
      </c>
      <c r="D9" t="s">
        <v>155</v>
      </c>
    </row>
    <row r="10" spans="1:5" x14ac:dyDescent="0.25">
      <c r="A10" t="s">
        <v>261</v>
      </c>
      <c r="B10" t="s">
        <v>262</v>
      </c>
      <c r="C10" t="s">
        <v>259</v>
      </c>
      <c r="D10" t="s">
        <v>155</v>
      </c>
    </row>
    <row r="11" spans="1:5" x14ac:dyDescent="0.25">
      <c r="A11" t="s">
        <v>263</v>
      </c>
      <c r="B11" t="s">
        <v>264</v>
      </c>
      <c r="C11" t="s">
        <v>259</v>
      </c>
      <c r="D11" t="s">
        <v>155</v>
      </c>
    </row>
    <row r="12" spans="1:5" x14ac:dyDescent="0.25">
      <c r="A12" t="s">
        <v>265</v>
      </c>
      <c r="B12" t="s">
        <v>266</v>
      </c>
      <c r="C12" t="s">
        <v>259</v>
      </c>
      <c r="D12" t="s">
        <v>155</v>
      </c>
    </row>
    <row r="13" spans="1:5" x14ac:dyDescent="0.25">
      <c r="A13" t="s">
        <v>267</v>
      </c>
      <c r="B13" t="s">
        <v>251</v>
      </c>
      <c r="C13" t="s">
        <v>268</v>
      </c>
      <c r="D13" t="s">
        <v>155</v>
      </c>
    </row>
    <row r="14" spans="1:5" x14ac:dyDescent="0.25">
      <c r="A14" t="s">
        <v>269</v>
      </c>
      <c r="B14" t="s">
        <v>270</v>
      </c>
      <c r="C14" t="s">
        <v>268</v>
      </c>
      <c r="D14" t="s">
        <v>155</v>
      </c>
    </row>
    <row r="15" spans="1:5" x14ac:dyDescent="0.25">
      <c r="A15" t="s">
        <v>271</v>
      </c>
      <c r="B15" t="s">
        <v>256</v>
      </c>
      <c r="C15" t="s">
        <v>268</v>
      </c>
      <c r="D15" t="s">
        <v>155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</sheetPr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5" customWidth="1"/>
    <col min="3" max="3" width="12" customWidth="1"/>
    <col min="4" max="4" width="17" customWidth="1"/>
  </cols>
  <sheetData>
    <row r="1" spans="1:4" ht="21" x14ac:dyDescent="0.35">
      <c r="A1" s="1" t="s">
        <v>272</v>
      </c>
    </row>
    <row r="4" spans="1:4" ht="27.95" customHeight="1" x14ac:dyDescent="0.25">
      <c r="A4" s="14" t="s">
        <v>115</v>
      </c>
      <c r="B4" s="14" t="s">
        <v>273</v>
      </c>
      <c r="C4" s="14" t="s">
        <v>194</v>
      </c>
      <c r="D4" s="14" t="s">
        <v>118</v>
      </c>
    </row>
    <row r="5" spans="1:4" x14ac:dyDescent="0.25">
      <c r="A5" t="s">
        <v>274</v>
      </c>
      <c r="B5" t="s">
        <v>275</v>
      </c>
      <c r="C5" t="s">
        <v>155</v>
      </c>
    </row>
    <row r="6" spans="1:4" x14ac:dyDescent="0.25">
      <c r="A6" t="s">
        <v>276</v>
      </c>
      <c r="B6" t="s">
        <v>277</v>
      </c>
      <c r="C6" t="s">
        <v>155</v>
      </c>
    </row>
    <row r="7" spans="1:4" x14ac:dyDescent="0.25">
      <c r="A7" t="s">
        <v>278</v>
      </c>
      <c r="B7" t="s">
        <v>279</v>
      </c>
      <c r="C7" t="s">
        <v>155</v>
      </c>
    </row>
    <row r="8" spans="1:4" x14ac:dyDescent="0.25">
      <c r="A8" t="s">
        <v>280</v>
      </c>
      <c r="B8" t="s">
        <v>281</v>
      </c>
      <c r="C8" t="s">
        <v>155</v>
      </c>
    </row>
    <row r="9" spans="1:4" x14ac:dyDescent="0.25">
      <c r="A9" t="s">
        <v>282</v>
      </c>
      <c r="B9" t="s">
        <v>283</v>
      </c>
      <c r="C9" t="s">
        <v>155</v>
      </c>
    </row>
    <row r="10" spans="1:4" x14ac:dyDescent="0.25">
      <c r="A10" t="s">
        <v>284</v>
      </c>
      <c r="B10" t="s">
        <v>285</v>
      </c>
      <c r="C10" t="s">
        <v>155</v>
      </c>
    </row>
    <row r="11" spans="1:4" x14ac:dyDescent="0.25">
      <c r="A11" t="s">
        <v>286</v>
      </c>
      <c r="B11" t="s">
        <v>186</v>
      </c>
      <c r="C11" t="s">
        <v>155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8"/>
  </sheetPr>
  <dimension ref="A1:F8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5" width="12" customWidth="1"/>
    <col min="6" max="6" width="19" customWidth="1"/>
  </cols>
  <sheetData>
    <row r="1" spans="1:6" ht="21" x14ac:dyDescent="0.35">
      <c r="A1" s="1" t="s">
        <v>287</v>
      </c>
    </row>
    <row r="2" spans="1:6" x14ac:dyDescent="0.25">
      <c r="A2" s="2" t="s">
        <v>288</v>
      </c>
    </row>
    <row r="4" spans="1:6" ht="27.95" customHeight="1" x14ac:dyDescent="0.25">
      <c r="A4" s="14" t="s">
        <v>289</v>
      </c>
      <c r="B4" s="14" t="s">
        <v>290</v>
      </c>
      <c r="C4" s="14" t="s">
        <v>291</v>
      </c>
      <c r="D4" s="14" t="s">
        <v>107</v>
      </c>
      <c r="E4" s="14" t="s">
        <v>194</v>
      </c>
      <c r="F4" s="14" t="s">
        <v>195</v>
      </c>
    </row>
    <row r="5" spans="1:6" x14ac:dyDescent="0.25">
      <c r="A5" t="s">
        <v>292</v>
      </c>
      <c r="B5" t="s">
        <v>293</v>
      </c>
      <c r="C5" t="s">
        <v>293</v>
      </c>
      <c r="E5" t="s">
        <v>155</v>
      </c>
      <c r="F5" t="s">
        <v>294</v>
      </c>
    </row>
    <row r="6" spans="1:6" x14ac:dyDescent="0.25">
      <c r="A6" t="s">
        <v>295</v>
      </c>
      <c r="B6" t="s">
        <v>296</v>
      </c>
      <c r="C6" t="s">
        <v>296</v>
      </c>
      <c r="E6" t="s">
        <v>155</v>
      </c>
      <c r="F6" t="s">
        <v>297</v>
      </c>
    </row>
    <row r="7" spans="1:6" x14ac:dyDescent="0.25">
      <c r="A7" t="s">
        <v>298</v>
      </c>
      <c r="B7" t="s">
        <v>299</v>
      </c>
      <c r="C7" t="s">
        <v>299</v>
      </c>
      <c r="E7" t="s">
        <v>155</v>
      </c>
      <c r="F7" t="s">
        <v>300</v>
      </c>
    </row>
    <row r="8" spans="1:6" x14ac:dyDescent="0.25">
      <c r="A8" t="s">
        <v>301</v>
      </c>
      <c r="B8" t="s">
        <v>302</v>
      </c>
      <c r="C8" t="s">
        <v>302</v>
      </c>
      <c r="E8" t="s">
        <v>155</v>
      </c>
      <c r="F8" t="s">
        <v>303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D32"/>
  </sheetPr>
  <dimension ref="A1:L3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23" customWidth="1"/>
    <col min="4" max="4" width="12" customWidth="1"/>
    <col min="5" max="5" width="14" customWidth="1"/>
    <col min="6" max="6" width="12" customWidth="1"/>
    <col min="7" max="7" width="14" customWidth="1"/>
    <col min="8" max="8" width="15" customWidth="1"/>
    <col min="9" max="10" width="12" customWidth="1"/>
    <col min="11" max="11" width="19" customWidth="1"/>
    <col min="12" max="12" width="20" customWidth="1"/>
  </cols>
  <sheetData>
    <row r="1" spans="1:12" ht="21" x14ac:dyDescent="0.35">
      <c r="A1" s="16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x14ac:dyDescent="0.25">
      <c r="A2" s="18" t="s">
        <v>304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2" ht="27.95" customHeight="1" x14ac:dyDescent="0.25">
      <c r="A4" s="19" t="s">
        <v>289</v>
      </c>
      <c r="B4" s="19" t="s">
        <v>117</v>
      </c>
      <c r="C4" s="19" t="s">
        <v>305</v>
      </c>
      <c r="D4" s="19" t="s">
        <v>306</v>
      </c>
      <c r="E4" s="19" t="s">
        <v>307</v>
      </c>
      <c r="F4" s="19" t="s">
        <v>107</v>
      </c>
      <c r="G4" s="19" t="s">
        <v>106</v>
      </c>
      <c r="H4" s="19" t="s">
        <v>308</v>
      </c>
      <c r="I4" s="19" t="s">
        <v>105</v>
      </c>
      <c r="J4" s="19" t="s">
        <v>248</v>
      </c>
      <c r="K4" s="19" t="s">
        <v>195</v>
      </c>
      <c r="L4" s="14" t="s">
        <v>309</v>
      </c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7" t="s">
        <v>194</v>
      </c>
      <c r="K5" s="17"/>
      <c r="L5" t="str">
        <f t="shared" ref="L5:L34" si="0">IF(D5="","",TRIM(UPPER(D5)))</f>
        <v/>
      </c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  <c r="J6" s="17" t="s">
        <v>194</v>
      </c>
      <c r="K6" s="17"/>
      <c r="L6" t="str">
        <f t="shared" si="0"/>
        <v/>
      </c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 t="s">
        <v>194</v>
      </c>
      <c r="K7" s="17"/>
      <c r="L7" t="str">
        <f t="shared" si="0"/>
        <v/>
      </c>
    </row>
    <row r="8" spans="1:12" x14ac:dyDescent="0.25">
      <c r="A8" s="17"/>
      <c r="B8" s="17"/>
      <c r="C8" s="17"/>
      <c r="D8" s="17"/>
      <c r="E8" s="17"/>
      <c r="F8" s="17"/>
      <c r="G8" s="17"/>
      <c r="H8" s="17"/>
      <c r="I8" s="17"/>
      <c r="J8" s="17" t="s">
        <v>194</v>
      </c>
      <c r="K8" s="17"/>
      <c r="L8" t="str">
        <f t="shared" si="0"/>
        <v/>
      </c>
    </row>
    <row r="9" spans="1:12" x14ac:dyDescent="0.25">
      <c r="A9" s="17"/>
      <c r="B9" s="17"/>
      <c r="C9" s="17"/>
      <c r="D9" s="17"/>
      <c r="E9" s="17"/>
      <c r="F9" s="17"/>
      <c r="G9" s="17"/>
      <c r="H9" s="17"/>
      <c r="I9" s="17"/>
      <c r="J9" s="17" t="s">
        <v>194</v>
      </c>
      <c r="K9" s="17"/>
      <c r="L9" t="str">
        <f t="shared" si="0"/>
        <v/>
      </c>
    </row>
    <row r="10" spans="1:1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 t="s">
        <v>194</v>
      </c>
      <c r="K10" s="17"/>
      <c r="L10" t="str">
        <f t="shared" si="0"/>
        <v/>
      </c>
    </row>
    <row r="11" spans="1:12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 t="s">
        <v>194</v>
      </c>
      <c r="K11" s="17"/>
      <c r="L11" t="str">
        <f t="shared" si="0"/>
        <v/>
      </c>
    </row>
    <row r="12" spans="1:12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 t="s">
        <v>194</v>
      </c>
      <c r="K12" s="17"/>
      <c r="L12" t="str">
        <f t="shared" si="0"/>
        <v/>
      </c>
    </row>
    <row r="13" spans="1:12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 t="s">
        <v>194</v>
      </c>
      <c r="K13" s="17"/>
      <c r="L13" t="str">
        <f t="shared" si="0"/>
        <v/>
      </c>
    </row>
    <row r="14" spans="1:12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 t="s">
        <v>194</v>
      </c>
      <c r="K14" s="17"/>
      <c r="L14" t="str">
        <f t="shared" si="0"/>
        <v/>
      </c>
    </row>
    <row r="15" spans="1:12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 t="s">
        <v>194</v>
      </c>
      <c r="K15" s="17"/>
      <c r="L15" t="str">
        <f t="shared" si="0"/>
        <v/>
      </c>
    </row>
    <row r="16" spans="1:12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 t="s">
        <v>194</v>
      </c>
      <c r="K16" s="17"/>
      <c r="L16" t="str">
        <f t="shared" si="0"/>
        <v/>
      </c>
    </row>
    <row r="17" spans="1:12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 t="s">
        <v>194</v>
      </c>
      <c r="K17" s="17"/>
      <c r="L17" t="str">
        <f t="shared" si="0"/>
        <v/>
      </c>
    </row>
    <row r="18" spans="1:12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 t="s">
        <v>194</v>
      </c>
      <c r="K18" s="17"/>
      <c r="L18" t="str">
        <f t="shared" si="0"/>
        <v/>
      </c>
    </row>
    <row r="19" spans="1:12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 t="s">
        <v>194</v>
      </c>
      <c r="K19" s="17"/>
      <c r="L19" t="str">
        <f t="shared" si="0"/>
        <v/>
      </c>
    </row>
    <row r="20" spans="1:12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 t="s">
        <v>194</v>
      </c>
      <c r="K20" s="17"/>
      <c r="L20" t="str">
        <f t="shared" si="0"/>
        <v/>
      </c>
    </row>
    <row r="21" spans="1:12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 t="s">
        <v>194</v>
      </c>
      <c r="K21" s="17"/>
      <c r="L21" t="str">
        <f t="shared" si="0"/>
        <v/>
      </c>
    </row>
    <row r="22" spans="1:12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 t="s">
        <v>194</v>
      </c>
      <c r="K22" s="17"/>
      <c r="L22" t="str">
        <f t="shared" si="0"/>
        <v/>
      </c>
    </row>
    <row r="23" spans="1:12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 t="s">
        <v>194</v>
      </c>
      <c r="K23" s="17"/>
      <c r="L23" t="str">
        <f t="shared" si="0"/>
        <v/>
      </c>
    </row>
    <row r="24" spans="1:12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 t="s">
        <v>194</v>
      </c>
      <c r="K24" s="17"/>
      <c r="L24" t="str">
        <f t="shared" si="0"/>
        <v/>
      </c>
    </row>
    <row r="25" spans="1:12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 t="s">
        <v>194</v>
      </c>
      <c r="K25" s="17"/>
      <c r="L25" t="str">
        <f t="shared" si="0"/>
        <v/>
      </c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 t="s">
        <v>194</v>
      </c>
      <c r="K26" s="17"/>
      <c r="L26" t="str">
        <f t="shared" si="0"/>
        <v/>
      </c>
    </row>
    <row r="27" spans="1:12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 t="s">
        <v>194</v>
      </c>
      <c r="K27" s="17"/>
      <c r="L27" t="str">
        <f t="shared" si="0"/>
        <v/>
      </c>
    </row>
    <row r="28" spans="1:12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 t="s">
        <v>194</v>
      </c>
      <c r="K28" s="17"/>
      <c r="L28" t="str">
        <f t="shared" si="0"/>
        <v/>
      </c>
    </row>
    <row r="29" spans="1:12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 t="s">
        <v>194</v>
      </c>
      <c r="K29" s="17"/>
      <c r="L29" t="str">
        <f t="shared" si="0"/>
        <v/>
      </c>
    </row>
    <row r="30" spans="1:12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 t="s">
        <v>194</v>
      </c>
      <c r="K30" s="17"/>
      <c r="L30" t="str">
        <f t="shared" si="0"/>
        <v/>
      </c>
    </row>
    <row r="31" spans="1:12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 t="s">
        <v>194</v>
      </c>
      <c r="K31" s="17"/>
      <c r="L31" t="str">
        <f t="shared" si="0"/>
        <v/>
      </c>
    </row>
    <row r="32" spans="1:12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 t="s">
        <v>194</v>
      </c>
      <c r="K32" s="17"/>
      <c r="L32" t="str">
        <f t="shared" si="0"/>
        <v/>
      </c>
    </row>
    <row r="33" spans="1:12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 t="s">
        <v>194</v>
      </c>
      <c r="K33" s="17"/>
      <c r="L33" t="str">
        <f t="shared" si="0"/>
        <v/>
      </c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 t="s">
        <v>194</v>
      </c>
      <c r="K34" s="17"/>
      <c r="L34" t="str">
        <f t="shared" si="0"/>
        <v/>
      </c>
    </row>
  </sheetData>
  <conditionalFormatting sqref="L5:L2004">
    <cfRule type="expression" dxfId="7" priority="1">
      <formula>AND($L5&lt;&gt;"",COUNTIF($L$5:$L$2004,$L5)&gt;1)</formula>
    </cfRule>
  </conditionalFormatting>
  <dataValidations count="2">
    <dataValidation type="list" allowBlank="1" sqref="B5:B2004" xr:uid="{00000000-0002-0000-0B00-000000000000}">
      <formula1>Lst_TipoTercero</formula1>
    </dataValidation>
    <dataValidation type="list" allowBlank="1" sqref="J5:J2004" xr:uid="{00000000-0002-0000-0B00-000001000000}">
      <formula1>"Activo,Inactivo"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D32"/>
  </sheetPr>
  <dimension ref="A1:S4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9" customWidth="1"/>
    <col min="4" max="4" width="12" customWidth="1"/>
    <col min="5" max="5" width="13" customWidth="1"/>
    <col min="6" max="6" width="20" customWidth="1"/>
    <col min="7" max="7" width="14" customWidth="1"/>
    <col min="8" max="8" width="15" customWidth="1"/>
    <col min="9" max="9" width="17" customWidth="1"/>
    <col min="10" max="10" width="12" customWidth="1"/>
    <col min="11" max="11" width="21" customWidth="1"/>
    <col min="12" max="12" width="12" customWidth="1"/>
    <col min="13" max="13" width="17" customWidth="1"/>
    <col min="14" max="14" width="19" customWidth="1"/>
    <col min="15" max="15" width="17" customWidth="1"/>
    <col min="16" max="16" width="21" customWidth="1"/>
    <col min="17" max="17" width="22" customWidth="1"/>
    <col min="18" max="18" width="15" customWidth="1"/>
    <col min="19" max="19" width="19" customWidth="1"/>
  </cols>
  <sheetData>
    <row r="1" spans="1:19" ht="21" x14ac:dyDescent="0.35">
      <c r="A1" s="1" t="s">
        <v>57</v>
      </c>
    </row>
    <row r="2" spans="1:19" x14ac:dyDescent="0.25">
      <c r="A2" s="2" t="s">
        <v>310</v>
      </c>
    </row>
    <row r="4" spans="1:19" ht="27.95" customHeight="1" x14ac:dyDescent="0.25">
      <c r="A4" s="14" t="s">
        <v>289</v>
      </c>
      <c r="B4" s="14" t="s">
        <v>311</v>
      </c>
      <c r="C4" s="14" t="s">
        <v>211</v>
      </c>
      <c r="D4" s="14" t="s">
        <v>121</v>
      </c>
      <c r="E4" s="14" t="s">
        <v>312</v>
      </c>
      <c r="F4" s="14" t="s">
        <v>313</v>
      </c>
      <c r="G4" s="14" t="s">
        <v>198</v>
      </c>
      <c r="H4" s="14" t="s">
        <v>314</v>
      </c>
      <c r="I4" s="14" t="s">
        <v>315</v>
      </c>
      <c r="J4" s="14" t="s">
        <v>316</v>
      </c>
      <c r="K4" s="14" t="s">
        <v>317</v>
      </c>
      <c r="L4" s="14" t="s">
        <v>248</v>
      </c>
      <c r="M4" s="14" t="s">
        <v>318</v>
      </c>
      <c r="N4" s="14" t="s">
        <v>319</v>
      </c>
      <c r="O4" s="14" t="s">
        <v>320</v>
      </c>
      <c r="P4" s="14" t="s">
        <v>321</v>
      </c>
      <c r="Q4" s="14" t="s">
        <v>322</v>
      </c>
      <c r="R4" s="14" t="s">
        <v>323</v>
      </c>
      <c r="S4" s="14" t="s">
        <v>195</v>
      </c>
    </row>
    <row r="5" spans="1:19" x14ac:dyDescent="0.25">
      <c r="B5" s="20"/>
      <c r="G5" s="21"/>
      <c r="H5" s="21"/>
      <c r="I5" s="21"/>
      <c r="J5" s="21"/>
      <c r="P5" s="20"/>
    </row>
    <row r="6" spans="1:19" x14ac:dyDescent="0.25">
      <c r="B6" s="20"/>
      <c r="G6" s="21"/>
      <c r="H6" s="21"/>
      <c r="I6" s="21"/>
      <c r="J6" s="21"/>
      <c r="P6" s="20"/>
    </row>
    <row r="7" spans="1:19" x14ac:dyDescent="0.25">
      <c r="B7" s="20"/>
      <c r="G7" s="21"/>
      <c r="H7" s="21"/>
      <c r="I7" s="21"/>
      <c r="J7" s="21"/>
      <c r="P7" s="20"/>
    </row>
    <row r="8" spans="1:19" x14ac:dyDescent="0.25">
      <c r="B8" s="20"/>
      <c r="G8" s="21"/>
      <c r="H8" s="21"/>
      <c r="I8" s="21"/>
      <c r="J8" s="21"/>
      <c r="P8" s="20"/>
    </row>
    <row r="9" spans="1:19" x14ac:dyDescent="0.25">
      <c r="B9" s="20"/>
      <c r="G9" s="21"/>
      <c r="H9" s="21"/>
      <c r="I9" s="21"/>
      <c r="J9" s="21"/>
      <c r="P9" s="20"/>
    </row>
    <row r="10" spans="1:19" x14ac:dyDescent="0.25">
      <c r="B10" s="20"/>
      <c r="G10" s="21"/>
      <c r="H10" s="21"/>
      <c r="I10" s="21"/>
      <c r="J10" s="21"/>
      <c r="P10" s="20"/>
    </row>
    <row r="11" spans="1:19" x14ac:dyDescent="0.25">
      <c r="B11" s="20"/>
      <c r="G11" s="21"/>
      <c r="H11" s="21"/>
      <c r="I11" s="21"/>
      <c r="J11" s="21"/>
      <c r="P11" s="20"/>
    </row>
    <row r="12" spans="1:19" x14ac:dyDescent="0.25">
      <c r="B12" s="20"/>
      <c r="G12" s="21"/>
      <c r="H12" s="21"/>
      <c r="I12" s="21"/>
      <c r="J12" s="21"/>
      <c r="P12" s="20"/>
    </row>
    <row r="13" spans="1:19" x14ac:dyDescent="0.25">
      <c r="B13" s="20"/>
      <c r="G13" s="21"/>
      <c r="H13" s="21"/>
      <c r="I13" s="21"/>
      <c r="J13" s="21"/>
      <c r="P13" s="20"/>
    </row>
    <row r="14" spans="1:19" x14ac:dyDescent="0.25">
      <c r="B14" s="20"/>
      <c r="G14" s="21"/>
      <c r="H14" s="21"/>
      <c r="I14" s="21"/>
      <c r="J14" s="21"/>
      <c r="P14" s="20"/>
    </row>
    <row r="15" spans="1:19" x14ac:dyDescent="0.25">
      <c r="B15" s="20"/>
      <c r="G15" s="21"/>
      <c r="H15" s="21"/>
      <c r="I15" s="21"/>
      <c r="J15" s="21"/>
      <c r="P15" s="20"/>
    </row>
    <row r="16" spans="1:19" x14ac:dyDescent="0.25">
      <c r="B16" s="20"/>
      <c r="G16" s="21"/>
      <c r="H16" s="21"/>
      <c r="I16" s="21"/>
      <c r="J16" s="21"/>
      <c r="P16" s="20"/>
    </row>
    <row r="17" spans="2:16" x14ac:dyDescent="0.25">
      <c r="B17" s="20"/>
      <c r="G17" s="21"/>
      <c r="H17" s="21"/>
      <c r="I17" s="21"/>
      <c r="J17" s="21"/>
      <c r="P17" s="20"/>
    </row>
    <row r="18" spans="2:16" x14ac:dyDescent="0.25">
      <c r="B18" s="20"/>
      <c r="G18" s="21"/>
      <c r="H18" s="21"/>
      <c r="I18" s="21"/>
      <c r="J18" s="21"/>
      <c r="P18" s="20"/>
    </row>
    <row r="19" spans="2:16" x14ac:dyDescent="0.25">
      <c r="B19" s="20"/>
      <c r="G19" s="21"/>
      <c r="H19" s="21"/>
      <c r="I19" s="21"/>
      <c r="J19" s="21"/>
      <c r="P19" s="20"/>
    </row>
    <row r="20" spans="2:16" x14ac:dyDescent="0.25">
      <c r="B20" s="20"/>
      <c r="G20" s="21"/>
      <c r="H20" s="21"/>
      <c r="I20" s="21"/>
      <c r="J20" s="21"/>
      <c r="P20" s="20"/>
    </row>
    <row r="21" spans="2:16" x14ac:dyDescent="0.25">
      <c r="B21" s="20"/>
      <c r="G21" s="21"/>
      <c r="H21" s="21"/>
      <c r="I21" s="21"/>
      <c r="J21" s="21"/>
      <c r="P21" s="20"/>
    </row>
    <row r="22" spans="2:16" x14ac:dyDescent="0.25">
      <c r="B22" s="20"/>
      <c r="G22" s="21"/>
      <c r="H22" s="21"/>
      <c r="I22" s="21"/>
      <c r="J22" s="21"/>
      <c r="P22" s="20"/>
    </row>
    <row r="23" spans="2:16" x14ac:dyDescent="0.25">
      <c r="B23" s="20"/>
      <c r="G23" s="21"/>
      <c r="H23" s="21"/>
      <c r="I23" s="21"/>
      <c r="J23" s="21"/>
      <c r="P23" s="20"/>
    </row>
    <row r="24" spans="2:16" x14ac:dyDescent="0.25">
      <c r="B24" s="20"/>
      <c r="G24" s="21"/>
      <c r="H24" s="21"/>
      <c r="I24" s="21"/>
      <c r="J24" s="21"/>
      <c r="P24" s="20"/>
    </row>
    <row r="25" spans="2:16" x14ac:dyDescent="0.25">
      <c r="B25" s="20"/>
      <c r="G25" s="21"/>
      <c r="H25" s="21"/>
      <c r="I25" s="21"/>
      <c r="J25" s="21"/>
      <c r="P25" s="20"/>
    </row>
    <row r="26" spans="2:16" x14ac:dyDescent="0.25">
      <c r="B26" s="20"/>
      <c r="G26" s="21"/>
      <c r="H26" s="21"/>
      <c r="I26" s="21"/>
      <c r="J26" s="21"/>
      <c r="P26" s="20"/>
    </row>
    <row r="27" spans="2:16" x14ac:dyDescent="0.25">
      <c r="B27" s="20"/>
      <c r="G27" s="21"/>
      <c r="H27" s="21"/>
      <c r="I27" s="21"/>
      <c r="J27" s="21"/>
      <c r="P27" s="20"/>
    </row>
    <row r="28" spans="2:16" x14ac:dyDescent="0.25">
      <c r="B28" s="20"/>
      <c r="G28" s="21"/>
      <c r="H28" s="21"/>
      <c r="I28" s="21"/>
      <c r="J28" s="21"/>
      <c r="P28" s="20"/>
    </row>
    <row r="29" spans="2:16" x14ac:dyDescent="0.25">
      <c r="B29" s="20"/>
      <c r="G29" s="21"/>
      <c r="H29" s="21"/>
      <c r="I29" s="21"/>
      <c r="J29" s="21"/>
      <c r="P29" s="20"/>
    </row>
    <row r="30" spans="2:16" x14ac:dyDescent="0.25">
      <c r="B30" s="20"/>
      <c r="G30" s="21"/>
      <c r="H30" s="21"/>
      <c r="I30" s="21"/>
      <c r="J30" s="21"/>
      <c r="P30" s="20"/>
    </row>
    <row r="31" spans="2:16" x14ac:dyDescent="0.25">
      <c r="B31" s="20"/>
      <c r="G31" s="21"/>
      <c r="H31" s="21"/>
      <c r="I31" s="21"/>
      <c r="J31" s="21"/>
      <c r="P31" s="20"/>
    </row>
    <row r="32" spans="2:16" x14ac:dyDescent="0.25">
      <c r="B32" s="20"/>
      <c r="G32" s="21"/>
      <c r="H32" s="21"/>
      <c r="I32" s="21"/>
      <c r="J32" s="21"/>
      <c r="P32" s="20"/>
    </row>
    <row r="33" spans="2:16" x14ac:dyDescent="0.25">
      <c r="B33" s="20"/>
      <c r="G33" s="21"/>
      <c r="H33" s="21"/>
      <c r="I33" s="21"/>
      <c r="J33" s="21"/>
      <c r="P33" s="20"/>
    </row>
    <row r="34" spans="2:16" x14ac:dyDescent="0.25">
      <c r="B34" s="20"/>
      <c r="G34" s="21"/>
      <c r="H34" s="21"/>
      <c r="I34" s="21"/>
      <c r="J34" s="21"/>
      <c r="P34" s="20"/>
    </row>
    <row r="35" spans="2:16" x14ac:dyDescent="0.25">
      <c r="B35" s="20"/>
      <c r="G35" s="21"/>
      <c r="H35" s="21"/>
      <c r="I35" s="21"/>
      <c r="J35" s="21"/>
      <c r="P35" s="20"/>
    </row>
    <row r="36" spans="2:16" x14ac:dyDescent="0.25">
      <c r="B36" s="20"/>
      <c r="G36" s="21"/>
      <c r="H36" s="21"/>
      <c r="I36" s="21"/>
      <c r="J36" s="21"/>
      <c r="P36" s="20"/>
    </row>
    <row r="37" spans="2:16" x14ac:dyDescent="0.25">
      <c r="B37" s="20"/>
      <c r="G37" s="21"/>
      <c r="H37" s="21"/>
      <c r="I37" s="21"/>
      <c r="J37" s="21"/>
      <c r="P37" s="20"/>
    </row>
    <row r="38" spans="2:16" x14ac:dyDescent="0.25">
      <c r="B38" s="20"/>
      <c r="G38" s="21"/>
      <c r="H38" s="21"/>
      <c r="I38" s="21"/>
      <c r="J38" s="21"/>
      <c r="P38" s="20"/>
    </row>
    <row r="39" spans="2:16" x14ac:dyDescent="0.25">
      <c r="B39" s="20"/>
      <c r="G39" s="21"/>
      <c r="H39" s="21"/>
      <c r="I39" s="21"/>
      <c r="J39" s="21"/>
      <c r="P39" s="20"/>
    </row>
    <row r="40" spans="2:16" x14ac:dyDescent="0.25">
      <c r="B40" s="20"/>
      <c r="G40" s="21"/>
      <c r="H40" s="21"/>
      <c r="I40" s="21"/>
      <c r="J40" s="21"/>
      <c r="P40" s="20"/>
    </row>
    <row r="41" spans="2:16" x14ac:dyDescent="0.25">
      <c r="B41" s="20"/>
      <c r="G41" s="21"/>
      <c r="H41" s="21"/>
      <c r="I41" s="21"/>
      <c r="J41" s="21"/>
      <c r="P41" s="20"/>
    </row>
    <row r="42" spans="2:16" x14ac:dyDescent="0.25">
      <c r="B42" s="20"/>
      <c r="G42" s="21"/>
      <c r="H42" s="21"/>
      <c r="I42" s="21"/>
      <c r="J42" s="21"/>
      <c r="P42" s="20"/>
    </row>
    <row r="43" spans="2:16" x14ac:dyDescent="0.25">
      <c r="B43" s="20"/>
      <c r="G43" s="21"/>
      <c r="H43" s="21"/>
      <c r="I43" s="21"/>
      <c r="J43" s="21"/>
      <c r="P43" s="20"/>
    </row>
    <row r="44" spans="2:16" x14ac:dyDescent="0.25">
      <c r="B44" s="20"/>
      <c r="G44" s="21"/>
      <c r="H44" s="21"/>
      <c r="I44" s="21"/>
      <c r="J44" s="21"/>
      <c r="P44" s="20"/>
    </row>
  </sheetData>
  <conditionalFormatting sqref="L5:L10004">
    <cfRule type="expression" dxfId="6" priority="1">
      <formula>$L5="Duplicado"</formula>
    </cfRule>
    <cfRule type="expression" dxfId="5" priority="2">
      <formula>$L5="Error"</formula>
    </cfRule>
    <cfRule type="expression" dxfId="4" priority="3">
      <formula>$L5="Validado"</formula>
    </cfRule>
  </conditionalFormatting>
  <dataValidations count="5">
    <dataValidation type="list" allowBlank="1" sqref="C5:C10004" xr:uid="{00000000-0002-0000-0C00-000000000000}">
      <formula1>Lst_TipoDocumentoNombre</formula1>
    </dataValidation>
    <dataValidation type="list" allowBlank="1" sqref="L5:L10004" xr:uid="{00000000-0002-0000-0C00-000001000000}">
      <formula1>Lst_EstadoDocumento</formula1>
    </dataValidation>
    <dataValidation type="list" allowBlank="1" sqref="O5:O10004" xr:uid="{00000000-0002-0000-0C00-000002000000}">
      <formula1>Lst_TipoArchivo</formula1>
    </dataValidation>
    <dataValidation type="list" allowBlank="1" sqref="Q5:Q10004" xr:uid="{00000000-0002-0000-0C00-000003000000}">
      <formula1>Lst_MetodoExtraccion</formula1>
    </dataValidation>
    <dataValidation type="list" allowBlank="1" sqref="E5:E10004" xr:uid="{00000000-0002-0000-0C00-000004000000}">
      <formula1>Lst_TerceroNombre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32"/>
  </sheetPr>
  <dimension ref="A1:R6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3" customWidth="1"/>
    <col min="6" max="6" width="12" customWidth="1"/>
    <col min="7" max="7" width="14" customWidth="1"/>
    <col min="8" max="8" width="15" customWidth="1"/>
    <col min="9" max="9" width="18" customWidth="1"/>
    <col min="10" max="10" width="15" customWidth="1"/>
    <col min="11" max="11" width="12" customWidth="1"/>
    <col min="12" max="12" width="14" customWidth="1"/>
    <col min="13" max="13" width="15" customWidth="1"/>
    <col min="14" max="14" width="17" customWidth="1"/>
    <col min="15" max="16" width="12" customWidth="1"/>
    <col min="17" max="17" width="15" customWidth="1"/>
    <col min="18" max="18" width="19" customWidth="1"/>
  </cols>
  <sheetData>
    <row r="1" spans="1:18" ht="21" x14ac:dyDescent="0.35">
      <c r="A1" s="16" t="s">
        <v>324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P1" s="17"/>
      <c r="Q1" s="17"/>
      <c r="R1" s="17"/>
    </row>
    <row r="2" spans="1:18" x14ac:dyDescent="0.25">
      <c r="A2" s="18" t="s">
        <v>325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</row>
    <row r="3" spans="1:1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</row>
    <row r="4" spans="1:18" ht="27.95" customHeight="1" x14ac:dyDescent="0.25">
      <c r="A4" s="19" t="s">
        <v>289</v>
      </c>
      <c r="B4" s="19" t="s">
        <v>311</v>
      </c>
      <c r="C4" s="19" t="s">
        <v>117</v>
      </c>
      <c r="D4" s="19" t="s">
        <v>259</v>
      </c>
      <c r="E4" s="19" t="s">
        <v>312</v>
      </c>
      <c r="F4" s="19" t="s">
        <v>306</v>
      </c>
      <c r="G4" s="19" t="s">
        <v>326</v>
      </c>
      <c r="H4" s="19" t="s">
        <v>148</v>
      </c>
      <c r="I4" s="19" t="s">
        <v>149</v>
      </c>
      <c r="J4" s="19" t="s">
        <v>273</v>
      </c>
      <c r="K4" s="19" t="s">
        <v>327</v>
      </c>
      <c r="L4" s="19" t="s">
        <v>198</v>
      </c>
      <c r="M4" s="19" t="s">
        <v>314</v>
      </c>
      <c r="N4" s="19" t="s">
        <v>315</v>
      </c>
      <c r="O4" s="14" t="s">
        <v>316</v>
      </c>
      <c r="P4" s="19" t="s">
        <v>248</v>
      </c>
      <c r="Q4" s="19" t="s">
        <v>328</v>
      </c>
      <c r="R4" s="19" t="s">
        <v>195</v>
      </c>
    </row>
    <row r="5" spans="1:18" x14ac:dyDescent="0.25">
      <c r="A5" s="17"/>
      <c r="B5" s="22"/>
      <c r="C5" s="17"/>
      <c r="D5" s="17"/>
      <c r="E5" s="17"/>
      <c r="F5" s="17"/>
      <c r="G5" s="17"/>
      <c r="H5" s="17"/>
      <c r="I5" s="17"/>
      <c r="J5" s="17"/>
      <c r="K5" s="17"/>
      <c r="L5" s="23"/>
      <c r="M5" s="23"/>
      <c r="N5" s="23"/>
      <c r="O5" s="24">
        <f t="shared" ref="O5:O36" si="0">IF(L5="",0,L5+M5-N5)</f>
        <v>0</v>
      </c>
      <c r="P5" s="17"/>
      <c r="Q5" s="17"/>
      <c r="R5" s="17"/>
    </row>
    <row r="6" spans="1:18" x14ac:dyDescent="0.25">
      <c r="A6" s="17"/>
      <c r="B6" s="22"/>
      <c r="C6" s="17"/>
      <c r="D6" s="17"/>
      <c r="E6" s="17"/>
      <c r="F6" s="17"/>
      <c r="G6" s="17"/>
      <c r="H6" s="17"/>
      <c r="I6" s="17"/>
      <c r="J6" s="17"/>
      <c r="K6" s="17"/>
      <c r="L6" s="23"/>
      <c r="M6" s="23"/>
      <c r="N6" s="23"/>
      <c r="O6" s="24">
        <f t="shared" si="0"/>
        <v>0</v>
      </c>
      <c r="P6" s="17"/>
      <c r="Q6" s="17"/>
      <c r="R6" s="17"/>
    </row>
    <row r="7" spans="1:18" x14ac:dyDescent="0.25">
      <c r="A7" s="17"/>
      <c r="B7" s="22"/>
      <c r="C7" s="17"/>
      <c r="D7" s="17"/>
      <c r="E7" s="17"/>
      <c r="F7" s="17"/>
      <c r="G7" s="17"/>
      <c r="H7" s="17"/>
      <c r="I7" s="17"/>
      <c r="J7" s="17"/>
      <c r="K7" s="17"/>
      <c r="L7" s="23"/>
      <c r="M7" s="23"/>
      <c r="N7" s="23"/>
      <c r="O7" s="24">
        <f t="shared" si="0"/>
        <v>0</v>
      </c>
      <c r="P7" s="17"/>
      <c r="Q7" s="17"/>
      <c r="R7" s="17"/>
    </row>
    <row r="8" spans="1:18" x14ac:dyDescent="0.25">
      <c r="A8" s="17"/>
      <c r="B8" s="22"/>
      <c r="C8" s="17"/>
      <c r="D8" s="17"/>
      <c r="E8" s="17"/>
      <c r="F8" s="17"/>
      <c r="G8" s="17"/>
      <c r="H8" s="17"/>
      <c r="I8" s="17"/>
      <c r="J8" s="17"/>
      <c r="K8" s="17"/>
      <c r="L8" s="23"/>
      <c r="M8" s="23"/>
      <c r="N8" s="23"/>
      <c r="O8" s="24">
        <f t="shared" si="0"/>
        <v>0</v>
      </c>
      <c r="P8" s="17"/>
      <c r="Q8" s="17"/>
      <c r="R8" s="17"/>
    </row>
    <row r="9" spans="1:18" x14ac:dyDescent="0.25">
      <c r="A9" s="17"/>
      <c r="B9" s="22"/>
      <c r="C9" s="17"/>
      <c r="D9" s="17"/>
      <c r="E9" s="17"/>
      <c r="F9" s="17"/>
      <c r="G9" s="17"/>
      <c r="H9" s="17"/>
      <c r="I9" s="17"/>
      <c r="J9" s="17"/>
      <c r="K9" s="17"/>
      <c r="L9" s="23"/>
      <c r="M9" s="23"/>
      <c r="N9" s="23"/>
      <c r="O9" s="24">
        <f t="shared" si="0"/>
        <v>0</v>
      </c>
      <c r="P9" s="17"/>
      <c r="Q9" s="17"/>
      <c r="R9" s="17"/>
    </row>
    <row r="10" spans="1:18" x14ac:dyDescent="0.25">
      <c r="A10" s="17"/>
      <c r="B10" s="22"/>
      <c r="C10" s="17"/>
      <c r="D10" s="17"/>
      <c r="E10" s="17"/>
      <c r="F10" s="17"/>
      <c r="G10" s="17"/>
      <c r="H10" s="17"/>
      <c r="I10" s="17"/>
      <c r="J10" s="17"/>
      <c r="K10" s="17"/>
      <c r="L10" s="23"/>
      <c r="M10" s="23"/>
      <c r="N10" s="23"/>
      <c r="O10" s="24">
        <f t="shared" si="0"/>
        <v>0</v>
      </c>
      <c r="P10" s="17"/>
      <c r="Q10" s="17"/>
      <c r="R10" s="17"/>
    </row>
    <row r="11" spans="1:18" x14ac:dyDescent="0.25">
      <c r="A11" s="17"/>
      <c r="B11" s="22"/>
      <c r="C11" s="17"/>
      <c r="D11" s="17"/>
      <c r="E11" s="17"/>
      <c r="F11" s="17"/>
      <c r="G11" s="17"/>
      <c r="H11" s="17"/>
      <c r="I11" s="17"/>
      <c r="J11" s="17"/>
      <c r="K11" s="17"/>
      <c r="L11" s="23"/>
      <c r="M11" s="23"/>
      <c r="N11" s="23"/>
      <c r="O11" s="24">
        <f t="shared" si="0"/>
        <v>0</v>
      </c>
      <c r="P11" s="17"/>
      <c r="Q11" s="17"/>
      <c r="R11" s="17"/>
    </row>
    <row r="12" spans="1:18" x14ac:dyDescent="0.25">
      <c r="A12" s="17"/>
      <c r="B12" s="22"/>
      <c r="C12" s="17"/>
      <c r="D12" s="17"/>
      <c r="E12" s="17"/>
      <c r="F12" s="17"/>
      <c r="G12" s="17"/>
      <c r="H12" s="17"/>
      <c r="I12" s="17"/>
      <c r="J12" s="17"/>
      <c r="K12" s="17"/>
      <c r="L12" s="23"/>
      <c r="M12" s="23"/>
      <c r="N12" s="23"/>
      <c r="O12" s="24">
        <f t="shared" si="0"/>
        <v>0</v>
      </c>
      <c r="P12" s="17"/>
      <c r="Q12" s="17"/>
      <c r="R12" s="17"/>
    </row>
    <row r="13" spans="1:18" x14ac:dyDescent="0.25">
      <c r="A13" s="17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23"/>
      <c r="M13" s="23"/>
      <c r="N13" s="23"/>
      <c r="O13" s="24">
        <f t="shared" si="0"/>
        <v>0</v>
      </c>
      <c r="P13" s="17"/>
      <c r="Q13" s="17"/>
      <c r="R13" s="17"/>
    </row>
    <row r="14" spans="1:18" x14ac:dyDescent="0.25">
      <c r="A14" s="17"/>
      <c r="B14" s="22"/>
      <c r="C14" s="17"/>
      <c r="D14" s="17"/>
      <c r="E14" s="17"/>
      <c r="F14" s="17"/>
      <c r="G14" s="17"/>
      <c r="H14" s="17"/>
      <c r="I14" s="17"/>
      <c r="J14" s="17"/>
      <c r="K14" s="17"/>
      <c r="L14" s="23"/>
      <c r="M14" s="23"/>
      <c r="N14" s="23"/>
      <c r="O14" s="24">
        <f t="shared" si="0"/>
        <v>0</v>
      </c>
      <c r="P14" s="17"/>
      <c r="Q14" s="17"/>
      <c r="R14" s="17"/>
    </row>
    <row r="15" spans="1:18" x14ac:dyDescent="0.25">
      <c r="A15" s="17"/>
      <c r="B15" s="22"/>
      <c r="C15" s="17"/>
      <c r="D15" s="17"/>
      <c r="E15" s="17"/>
      <c r="F15" s="17"/>
      <c r="G15" s="17"/>
      <c r="H15" s="17"/>
      <c r="I15" s="17"/>
      <c r="J15" s="17"/>
      <c r="K15" s="17"/>
      <c r="L15" s="23"/>
      <c r="M15" s="23"/>
      <c r="N15" s="23"/>
      <c r="O15" s="24">
        <f t="shared" si="0"/>
        <v>0</v>
      </c>
      <c r="P15" s="17"/>
      <c r="Q15" s="17"/>
      <c r="R15" s="17"/>
    </row>
    <row r="16" spans="1:18" x14ac:dyDescent="0.25">
      <c r="A16" s="17"/>
      <c r="B16" s="22"/>
      <c r="C16" s="17"/>
      <c r="D16" s="17"/>
      <c r="E16" s="17"/>
      <c r="F16" s="17"/>
      <c r="G16" s="17"/>
      <c r="H16" s="17"/>
      <c r="I16" s="17"/>
      <c r="J16" s="17"/>
      <c r="K16" s="17"/>
      <c r="L16" s="23"/>
      <c r="M16" s="23"/>
      <c r="N16" s="23"/>
      <c r="O16" s="24">
        <f t="shared" si="0"/>
        <v>0</v>
      </c>
      <c r="P16" s="17"/>
      <c r="Q16" s="17"/>
      <c r="R16" s="17"/>
    </row>
    <row r="17" spans="1:18" x14ac:dyDescent="0.25">
      <c r="A17" s="17"/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23"/>
      <c r="M17" s="23"/>
      <c r="N17" s="23"/>
      <c r="O17" s="24">
        <f t="shared" si="0"/>
        <v>0</v>
      </c>
      <c r="P17" s="17"/>
      <c r="Q17" s="17"/>
      <c r="R17" s="17"/>
    </row>
    <row r="18" spans="1:18" x14ac:dyDescent="0.25">
      <c r="A18" s="17"/>
      <c r="B18" s="22"/>
      <c r="C18" s="17"/>
      <c r="D18" s="17"/>
      <c r="E18" s="17"/>
      <c r="F18" s="17"/>
      <c r="G18" s="17"/>
      <c r="H18" s="17"/>
      <c r="I18" s="17"/>
      <c r="J18" s="17"/>
      <c r="K18" s="17"/>
      <c r="L18" s="23"/>
      <c r="M18" s="23"/>
      <c r="N18" s="23"/>
      <c r="O18" s="24">
        <f t="shared" si="0"/>
        <v>0</v>
      </c>
      <c r="P18" s="17"/>
      <c r="Q18" s="17"/>
      <c r="R18" s="17"/>
    </row>
    <row r="19" spans="1:18" x14ac:dyDescent="0.25">
      <c r="A19" s="17"/>
      <c r="B19" s="22"/>
      <c r="C19" s="17"/>
      <c r="D19" s="17"/>
      <c r="E19" s="17"/>
      <c r="F19" s="17"/>
      <c r="G19" s="17"/>
      <c r="H19" s="17"/>
      <c r="I19" s="17"/>
      <c r="J19" s="17"/>
      <c r="K19" s="17"/>
      <c r="L19" s="23"/>
      <c r="M19" s="23"/>
      <c r="N19" s="23"/>
      <c r="O19" s="24">
        <f t="shared" si="0"/>
        <v>0</v>
      </c>
      <c r="P19" s="17"/>
      <c r="Q19" s="17"/>
      <c r="R19" s="17"/>
    </row>
    <row r="20" spans="1:18" x14ac:dyDescent="0.25">
      <c r="A20" s="17"/>
      <c r="B20" s="22"/>
      <c r="C20" s="17"/>
      <c r="D20" s="17"/>
      <c r="E20" s="17"/>
      <c r="F20" s="17"/>
      <c r="G20" s="17"/>
      <c r="H20" s="17"/>
      <c r="I20" s="17"/>
      <c r="J20" s="17"/>
      <c r="K20" s="17"/>
      <c r="L20" s="23"/>
      <c r="M20" s="23"/>
      <c r="N20" s="23"/>
      <c r="O20" s="24">
        <f t="shared" si="0"/>
        <v>0</v>
      </c>
      <c r="P20" s="17"/>
      <c r="Q20" s="17"/>
      <c r="R20" s="17"/>
    </row>
    <row r="21" spans="1:18" x14ac:dyDescent="0.25">
      <c r="A21" s="17"/>
      <c r="B21" s="22"/>
      <c r="C21" s="17"/>
      <c r="D21" s="17"/>
      <c r="E21" s="17"/>
      <c r="F21" s="17"/>
      <c r="G21" s="17"/>
      <c r="H21" s="17"/>
      <c r="I21" s="17"/>
      <c r="J21" s="17"/>
      <c r="K21" s="17"/>
      <c r="L21" s="23"/>
      <c r="M21" s="23"/>
      <c r="N21" s="23"/>
      <c r="O21" s="24">
        <f t="shared" si="0"/>
        <v>0</v>
      </c>
      <c r="P21" s="17"/>
      <c r="Q21" s="17"/>
      <c r="R21" s="17"/>
    </row>
    <row r="22" spans="1:18" x14ac:dyDescent="0.25">
      <c r="A22" s="17"/>
      <c r="B22" s="22"/>
      <c r="C22" s="17"/>
      <c r="D22" s="17"/>
      <c r="E22" s="17"/>
      <c r="F22" s="17"/>
      <c r="G22" s="17"/>
      <c r="H22" s="17"/>
      <c r="I22" s="17"/>
      <c r="J22" s="17"/>
      <c r="K22" s="17"/>
      <c r="L22" s="23"/>
      <c r="M22" s="23"/>
      <c r="N22" s="23"/>
      <c r="O22" s="24">
        <f t="shared" si="0"/>
        <v>0</v>
      </c>
      <c r="P22" s="17"/>
      <c r="Q22" s="17"/>
      <c r="R22" s="17"/>
    </row>
    <row r="23" spans="1:18" x14ac:dyDescent="0.25">
      <c r="A23" s="17"/>
      <c r="B23" s="22"/>
      <c r="C23" s="17"/>
      <c r="D23" s="17"/>
      <c r="E23" s="17"/>
      <c r="F23" s="17"/>
      <c r="G23" s="17"/>
      <c r="H23" s="17"/>
      <c r="I23" s="17"/>
      <c r="J23" s="17"/>
      <c r="K23" s="17"/>
      <c r="L23" s="23"/>
      <c r="M23" s="23"/>
      <c r="N23" s="23"/>
      <c r="O23" s="24">
        <f t="shared" si="0"/>
        <v>0</v>
      </c>
      <c r="P23" s="17"/>
      <c r="Q23" s="17"/>
      <c r="R23" s="17"/>
    </row>
    <row r="24" spans="1:18" x14ac:dyDescent="0.25">
      <c r="A24" s="17"/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23"/>
      <c r="M24" s="23"/>
      <c r="N24" s="23"/>
      <c r="O24" s="24">
        <f t="shared" si="0"/>
        <v>0</v>
      </c>
      <c r="P24" s="17"/>
      <c r="Q24" s="17"/>
      <c r="R24" s="17"/>
    </row>
    <row r="25" spans="1:18" x14ac:dyDescent="0.25">
      <c r="A25" s="17"/>
      <c r="B25" s="22"/>
      <c r="C25" s="17"/>
      <c r="D25" s="17"/>
      <c r="E25" s="17"/>
      <c r="F25" s="17"/>
      <c r="G25" s="17"/>
      <c r="H25" s="17"/>
      <c r="I25" s="17"/>
      <c r="J25" s="17"/>
      <c r="K25" s="17"/>
      <c r="L25" s="23"/>
      <c r="M25" s="23"/>
      <c r="N25" s="23"/>
      <c r="O25" s="24">
        <f t="shared" si="0"/>
        <v>0</v>
      </c>
      <c r="P25" s="17"/>
      <c r="Q25" s="17"/>
      <c r="R25" s="17"/>
    </row>
    <row r="26" spans="1:18" x14ac:dyDescent="0.25">
      <c r="A26" s="17"/>
      <c r="B26" s="22"/>
      <c r="C26" s="17"/>
      <c r="D26" s="17"/>
      <c r="E26" s="17"/>
      <c r="F26" s="17"/>
      <c r="G26" s="17"/>
      <c r="H26" s="17"/>
      <c r="I26" s="17"/>
      <c r="J26" s="17"/>
      <c r="K26" s="17"/>
      <c r="L26" s="23"/>
      <c r="M26" s="23"/>
      <c r="N26" s="23"/>
      <c r="O26" s="24">
        <f t="shared" si="0"/>
        <v>0</v>
      </c>
      <c r="P26" s="17"/>
      <c r="Q26" s="17"/>
      <c r="R26" s="17"/>
    </row>
    <row r="27" spans="1:18" x14ac:dyDescent="0.25">
      <c r="A27" s="17"/>
      <c r="B27" s="22"/>
      <c r="C27" s="17"/>
      <c r="D27" s="17"/>
      <c r="E27" s="17"/>
      <c r="F27" s="17"/>
      <c r="G27" s="17"/>
      <c r="H27" s="17"/>
      <c r="I27" s="17"/>
      <c r="J27" s="17"/>
      <c r="K27" s="17"/>
      <c r="L27" s="23"/>
      <c r="M27" s="23"/>
      <c r="N27" s="23"/>
      <c r="O27" s="24">
        <f t="shared" si="0"/>
        <v>0</v>
      </c>
      <c r="P27" s="17"/>
      <c r="Q27" s="17"/>
      <c r="R27" s="17"/>
    </row>
    <row r="28" spans="1:18" x14ac:dyDescent="0.25">
      <c r="A28" s="17"/>
      <c r="B28" s="22"/>
      <c r="C28" s="17"/>
      <c r="D28" s="17"/>
      <c r="E28" s="17"/>
      <c r="F28" s="17"/>
      <c r="G28" s="17"/>
      <c r="H28" s="17"/>
      <c r="I28" s="17"/>
      <c r="J28" s="17"/>
      <c r="K28" s="17"/>
      <c r="L28" s="23"/>
      <c r="M28" s="23"/>
      <c r="N28" s="23"/>
      <c r="O28" s="24">
        <f t="shared" si="0"/>
        <v>0</v>
      </c>
      <c r="P28" s="17"/>
      <c r="Q28" s="17"/>
      <c r="R28" s="17"/>
    </row>
    <row r="29" spans="1:18" x14ac:dyDescent="0.25">
      <c r="A29" s="17"/>
      <c r="B29" s="22"/>
      <c r="C29" s="17"/>
      <c r="D29" s="17"/>
      <c r="E29" s="17"/>
      <c r="F29" s="17"/>
      <c r="G29" s="17"/>
      <c r="H29" s="17"/>
      <c r="I29" s="17"/>
      <c r="J29" s="17"/>
      <c r="K29" s="17"/>
      <c r="L29" s="23"/>
      <c r="M29" s="23"/>
      <c r="N29" s="23"/>
      <c r="O29" s="24">
        <f t="shared" si="0"/>
        <v>0</v>
      </c>
      <c r="P29" s="17"/>
      <c r="Q29" s="17"/>
      <c r="R29" s="17"/>
    </row>
    <row r="30" spans="1:18" x14ac:dyDescent="0.25">
      <c r="A30" s="17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23"/>
      <c r="M30" s="23"/>
      <c r="N30" s="23"/>
      <c r="O30" s="24">
        <f t="shared" si="0"/>
        <v>0</v>
      </c>
      <c r="P30" s="17"/>
      <c r="Q30" s="17"/>
      <c r="R30" s="17"/>
    </row>
    <row r="31" spans="1:18" x14ac:dyDescent="0.25">
      <c r="A31" s="17"/>
      <c r="B31" s="22"/>
      <c r="C31" s="17"/>
      <c r="D31" s="17"/>
      <c r="E31" s="17"/>
      <c r="F31" s="17"/>
      <c r="G31" s="17"/>
      <c r="H31" s="17"/>
      <c r="I31" s="17"/>
      <c r="J31" s="17"/>
      <c r="K31" s="17"/>
      <c r="L31" s="23"/>
      <c r="M31" s="23"/>
      <c r="N31" s="23"/>
      <c r="O31" s="24">
        <f t="shared" si="0"/>
        <v>0</v>
      </c>
      <c r="P31" s="17"/>
      <c r="Q31" s="17"/>
      <c r="R31" s="17"/>
    </row>
    <row r="32" spans="1:18" x14ac:dyDescent="0.25">
      <c r="A32" s="17"/>
      <c r="B32" s="22"/>
      <c r="C32" s="17"/>
      <c r="D32" s="17"/>
      <c r="E32" s="17"/>
      <c r="F32" s="17"/>
      <c r="G32" s="17"/>
      <c r="H32" s="17"/>
      <c r="I32" s="17"/>
      <c r="J32" s="17"/>
      <c r="K32" s="17"/>
      <c r="L32" s="23"/>
      <c r="M32" s="23"/>
      <c r="N32" s="23"/>
      <c r="O32" s="24">
        <f t="shared" si="0"/>
        <v>0</v>
      </c>
      <c r="P32" s="17"/>
      <c r="Q32" s="17"/>
      <c r="R32" s="17"/>
    </row>
    <row r="33" spans="1:18" x14ac:dyDescent="0.25">
      <c r="A33" s="17"/>
      <c r="B33" s="22"/>
      <c r="C33" s="17"/>
      <c r="D33" s="17"/>
      <c r="E33" s="17"/>
      <c r="F33" s="17"/>
      <c r="G33" s="17"/>
      <c r="H33" s="17"/>
      <c r="I33" s="17"/>
      <c r="J33" s="17"/>
      <c r="K33" s="17"/>
      <c r="L33" s="23"/>
      <c r="M33" s="23"/>
      <c r="N33" s="23"/>
      <c r="O33" s="24">
        <f t="shared" si="0"/>
        <v>0</v>
      </c>
      <c r="P33" s="17"/>
      <c r="Q33" s="17"/>
      <c r="R33" s="17"/>
    </row>
    <row r="34" spans="1:18" x14ac:dyDescent="0.25">
      <c r="A34" s="17"/>
      <c r="B34" s="22"/>
      <c r="C34" s="17"/>
      <c r="D34" s="17"/>
      <c r="E34" s="17"/>
      <c r="F34" s="17"/>
      <c r="G34" s="17"/>
      <c r="H34" s="17"/>
      <c r="I34" s="17"/>
      <c r="J34" s="17"/>
      <c r="K34" s="17"/>
      <c r="L34" s="23"/>
      <c r="M34" s="23"/>
      <c r="N34" s="23"/>
      <c r="O34" s="24">
        <f t="shared" si="0"/>
        <v>0</v>
      </c>
      <c r="P34" s="17"/>
      <c r="Q34" s="17"/>
      <c r="R34" s="17"/>
    </row>
    <row r="35" spans="1:18" x14ac:dyDescent="0.25">
      <c r="A35" s="17"/>
      <c r="B35" s="22"/>
      <c r="C35" s="17"/>
      <c r="D35" s="17"/>
      <c r="E35" s="17"/>
      <c r="F35" s="17"/>
      <c r="G35" s="17"/>
      <c r="H35" s="17"/>
      <c r="I35" s="17"/>
      <c r="J35" s="17"/>
      <c r="K35" s="17"/>
      <c r="L35" s="23"/>
      <c r="M35" s="23"/>
      <c r="N35" s="23"/>
      <c r="O35" s="24">
        <f t="shared" si="0"/>
        <v>0</v>
      </c>
      <c r="P35" s="17"/>
      <c r="Q35" s="17"/>
      <c r="R35" s="17"/>
    </row>
    <row r="36" spans="1:18" x14ac:dyDescent="0.25">
      <c r="A36" s="17"/>
      <c r="B36" s="22"/>
      <c r="C36" s="17"/>
      <c r="D36" s="17"/>
      <c r="E36" s="17"/>
      <c r="F36" s="17"/>
      <c r="G36" s="17"/>
      <c r="H36" s="17"/>
      <c r="I36" s="17"/>
      <c r="J36" s="17"/>
      <c r="K36" s="17"/>
      <c r="L36" s="23"/>
      <c r="M36" s="23"/>
      <c r="N36" s="23"/>
      <c r="O36" s="24">
        <f t="shared" si="0"/>
        <v>0</v>
      </c>
      <c r="P36" s="17"/>
      <c r="Q36" s="17"/>
      <c r="R36" s="17"/>
    </row>
    <row r="37" spans="1:18" x14ac:dyDescent="0.25">
      <c r="A37" s="17"/>
      <c r="B37" s="22"/>
      <c r="C37" s="17"/>
      <c r="D37" s="17"/>
      <c r="E37" s="17"/>
      <c r="F37" s="17"/>
      <c r="G37" s="17"/>
      <c r="H37" s="17"/>
      <c r="I37" s="17"/>
      <c r="J37" s="17"/>
      <c r="K37" s="17"/>
      <c r="L37" s="23"/>
      <c r="M37" s="23"/>
      <c r="N37" s="23"/>
      <c r="O37" s="24">
        <f t="shared" ref="O37:O64" si="1">IF(L37="",0,L37+M37-N37)</f>
        <v>0</v>
      </c>
      <c r="P37" s="17"/>
      <c r="Q37" s="17"/>
      <c r="R37" s="17"/>
    </row>
    <row r="38" spans="1:18" x14ac:dyDescent="0.25">
      <c r="A38" s="17"/>
      <c r="B38" s="22"/>
      <c r="C38" s="17"/>
      <c r="D38" s="17"/>
      <c r="E38" s="17"/>
      <c r="F38" s="17"/>
      <c r="G38" s="17"/>
      <c r="H38" s="17"/>
      <c r="I38" s="17"/>
      <c r="J38" s="17"/>
      <c r="K38" s="17"/>
      <c r="L38" s="23"/>
      <c r="M38" s="23"/>
      <c r="N38" s="23"/>
      <c r="O38" s="24">
        <f t="shared" si="1"/>
        <v>0</v>
      </c>
      <c r="P38" s="17"/>
      <c r="Q38" s="17"/>
      <c r="R38" s="17"/>
    </row>
    <row r="39" spans="1:18" x14ac:dyDescent="0.25">
      <c r="A39" s="17"/>
      <c r="B39" s="22"/>
      <c r="C39" s="17"/>
      <c r="D39" s="17"/>
      <c r="E39" s="17"/>
      <c r="F39" s="17"/>
      <c r="G39" s="17"/>
      <c r="H39" s="17"/>
      <c r="I39" s="17"/>
      <c r="J39" s="17"/>
      <c r="K39" s="17"/>
      <c r="L39" s="23"/>
      <c r="M39" s="23"/>
      <c r="N39" s="23"/>
      <c r="O39" s="24">
        <f t="shared" si="1"/>
        <v>0</v>
      </c>
      <c r="P39" s="17"/>
      <c r="Q39" s="17"/>
      <c r="R39" s="17"/>
    </row>
    <row r="40" spans="1:18" x14ac:dyDescent="0.25">
      <c r="A40" s="17"/>
      <c r="B40" s="22"/>
      <c r="C40" s="17"/>
      <c r="D40" s="17"/>
      <c r="E40" s="17"/>
      <c r="F40" s="17"/>
      <c r="G40" s="17"/>
      <c r="H40" s="17"/>
      <c r="I40" s="17"/>
      <c r="J40" s="17"/>
      <c r="K40" s="17"/>
      <c r="L40" s="23"/>
      <c r="M40" s="23"/>
      <c r="N40" s="23"/>
      <c r="O40" s="24">
        <f t="shared" si="1"/>
        <v>0</v>
      </c>
      <c r="P40" s="17"/>
      <c r="Q40" s="17"/>
      <c r="R40" s="17"/>
    </row>
    <row r="41" spans="1:18" x14ac:dyDescent="0.25">
      <c r="A41" s="17"/>
      <c r="B41" s="22"/>
      <c r="C41" s="17"/>
      <c r="D41" s="17"/>
      <c r="E41" s="17"/>
      <c r="F41" s="17"/>
      <c r="G41" s="17"/>
      <c r="H41" s="17"/>
      <c r="I41" s="17"/>
      <c r="J41" s="17"/>
      <c r="K41" s="17"/>
      <c r="L41" s="23"/>
      <c r="M41" s="23"/>
      <c r="N41" s="23"/>
      <c r="O41" s="24">
        <f t="shared" si="1"/>
        <v>0</v>
      </c>
      <c r="P41" s="17"/>
      <c r="Q41" s="17"/>
      <c r="R41" s="17"/>
    </row>
    <row r="42" spans="1:18" x14ac:dyDescent="0.25">
      <c r="A42" s="17"/>
      <c r="B42" s="22"/>
      <c r="C42" s="17"/>
      <c r="D42" s="17"/>
      <c r="E42" s="17"/>
      <c r="F42" s="17"/>
      <c r="G42" s="17"/>
      <c r="H42" s="17"/>
      <c r="I42" s="17"/>
      <c r="J42" s="17"/>
      <c r="K42" s="17"/>
      <c r="L42" s="23"/>
      <c r="M42" s="23"/>
      <c r="N42" s="23"/>
      <c r="O42" s="24">
        <f t="shared" si="1"/>
        <v>0</v>
      </c>
      <c r="P42" s="17"/>
      <c r="Q42" s="17"/>
      <c r="R42" s="17"/>
    </row>
    <row r="43" spans="1:18" x14ac:dyDescent="0.25">
      <c r="A43" s="17"/>
      <c r="B43" s="22"/>
      <c r="C43" s="17"/>
      <c r="D43" s="17"/>
      <c r="E43" s="17"/>
      <c r="F43" s="17"/>
      <c r="G43" s="17"/>
      <c r="H43" s="17"/>
      <c r="I43" s="17"/>
      <c r="J43" s="17"/>
      <c r="K43" s="17"/>
      <c r="L43" s="23"/>
      <c r="M43" s="23"/>
      <c r="N43" s="23"/>
      <c r="O43" s="24">
        <f t="shared" si="1"/>
        <v>0</v>
      </c>
      <c r="P43" s="17"/>
      <c r="Q43" s="17"/>
      <c r="R43" s="17"/>
    </row>
    <row r="44" spans="1:18" x14ac:dyDescent="0.25">
      <c r="A44" s="17"/>
      <c r="B44" s="22"/>
      <c r="C44" s="17"/>
      <c r="D44" s="17"/>
      <c r="E44" s="17"/>
      <c r="F44" s="17"/>
      <c r="G44" s="17"/>
      <c r="H44" s="17"/>
      <c r="I44" s="17"/>
      <c r="J44" s="17"/>
      <c r="K44" s="17"/>
      <c r="L44" s="23"/>
      <c r="M44" s="23"/>
      <c r="N44" s="23"/>
      <c r="O44" s="24">
        <f t="shared" si="1"/>
        <v>0</v>
      </c>
      <c r="P44" s="17"/>
      <c r="Q44" s="17"/>
      <c r="R44" s="17"/>
    </row>
    <row r="45" spans="1:18" x14ac:dyDescent="0.25">
      <c r="A45" s="17"/>
      <c r="B45" s="22"/>
      <c r="C45" s="17"/>
      <c r="D45" s="17"/>
      <c r="E45" s="17"/>
      <c r="F45" s="17"/>
      <c r="G45" s="17"/>
      <c r="H45" s="17"/>
      <c r="I45" s="17"/>
      <c r="J45" s="17"/>
      <c r="K45" s="17"/>
      <c r="L45" s="23"/>
      <c r="M45" s="23"/>
      <c r="N45" s="23"/>
      <c r="O45" s="24">
        <f t="shared" si="1"/>
        <v>0</v>
      </c>
      <c r="P45" s="17"/>
      <c r="Q45" s="17"/>
      <c r="R45" s="17"/>
    </row>
    <row r="46" spans="1:18" x14ac:dyDescent="0.25">
      <c r="A46" s="17"/>
      <c r="B46" s="22"/>
      <c r="C46" s="17"/>
      <c r="D46" s="17"/>
      <c r="E46" s="17"/>
      <c r="F46" s="17"/>
      <c r="G46" s="17"/>
      <c r="H46" s="17"/>
      <c r="I46" s="17"/>
      <c r="J46" s="17"/>
      <c r="K46" s="17"/>
      <c r="L46" s="23"/>
      <c r="M46" s="23"/>
      <c r="N46" s="23"/>
      <c r="O46" s="24">
        <f t="shared" si="1"/>
        <v>0</v>
      </c>
      <c r="P46" s="17"/>
      <c r="Q46" s="17"/>
      <c r="R46" s="17"/>
    </row>
    <row r="47" spans="1:18" x14ac:dyDescent="0.25">
      <c r="A47" s="17"/>
      <c r="B47" s="22"/>
      <c r="C47" s="17"/>
      <c r="D47" s="17"/>
      <c r="E47" s="17"/>
      <c r="F47" s="17"/>
      <c r="G47" s="17"/>
      <c r="H47" s="17"/>
      <c r="I47" s="17"/>
      <c r="J47" s="17"/>
      <c r="K47" s="17"/>
      <c r="L47" s="23"/>
      <c r="M47" s="23"/>
      <c r="N47" s="23"/>
      <c r="O47" s="24">
        <f t="shared" si="1"/>
        <v>0</v>
      </c>
      <c r="P47" s="17"/>
      <c r="Q47" s="17"/>
      <c r="R47" s="17"/>
    </row>
    <row r="48" spans="1:18" x14ac:dyDescent="0.25">
      <c r="A48" s="17"/>
      <c r="B48" s="22"/>
      <c r="C48" s="17"/>
      <c r="D48" s="17"/>
      <c r="E48" s="17"/>
      <c r="F48" s="17"/>
      <c r="G48" s="17"/>
      <c r="H48" s="17"/>
      <c r="I48" s="17"/>
      <c r="J48" s="17"/>
      <c r="K48" s="17"/>
      <c r="L48" s="23"/>
      <c r="M48" s="23"/>
      <c r="N48" s="23"/>
      <c r="O48" s="24">
        <f t="shared" si="1"/>
        <v>0</v>
      </c>
      <c r="P48" s="17"/>
      <c r="Q48" s="17"/>
      <c r="R48" s="17"/>
    </row>
    <row r="49" spans="1:18" x14ac:dyDescent="0.25">
      <c r="A49" s="17"/>
      <c r="B49" s="22"/>
      <c r="C49" s="17"/>
      <c r="D49" s="17"/>
      <c r="E49" s="17"/>
      <c r="F49" s="17"/>
      <c r="G49" s="17"/>
      <c r="H49" s="17"/>
      <c r="I49" s="17"/>
      <c r="J49" s="17"/>
      <c r="K49" s="17"/>
      <c r="L49" s="23"/>
      <c r="M49" s="23"/>
      <c r="N49" s="23"/>
      <c r="O49" s="24">
        <f t="shared" si="1"/>
        <v>0</v>
      </c>
      <c r="P49" s="17"/>
      <c r="Q49" s="17"/>
      <c r="R49" s="17"/>
    </row>
    <row r="50" spans="1:18" x14ac:dyDescent="0.25">
      <c r="A50" s="17"/>
      <c r="B50" s="22"/>
      <c r="C50" s="17"/>
      <c r="D50" s="17"/>
      <c r="E50" s="17"/>
      <c r="F50" s="17"/>
      <c r="G50" s="17"/>
      <c r="H50" s="17"/>
      <c r="I50" s="17"/>
      <c r="J50" s="17"/>
      <c r="K50" s="17"/>
      <c r="L50" s="23"/>
      <c r="M50" s="23"/>
      <c r="N50" s="23"/>
      <c r="O50" s="24">
        <f t="shared" si="1"/>
        <v>0</v>
      </c>
      <c r="P50" s="17"/>
      <c r="Q50" s="17"/>
      <c r="R50" s="17"/>
    </row>
    <row r="51" spans="1:18" x14ac:dyDescent="0.25">
      <c r="A51" s="17"/>
      <c r="B51" s="22"/>
      <c r="C51" s="17"/>
      <c r="D51" s="17"/>
      <c r="E51" s="17"/>
      <c r="F51" s="17"/>
      <c r="G51" s="17"/>
      <c r="H51" s="17"/>
      <c r="I51" s="17"/>
      <c r="J51" s="17"/>
      <c r="K51" s="17"/>
      <c r="L51" s="23"/>
      <c r="M51" s="23"/>
      <c r="N51" s="23"/>
      <c r="O51" s="24">
        <f t="shared" si="1"/>
        <v>0</v>
      </c>
      <c r="P51" s="17"/>
      <c r="Q51" s="17"/>
      <c r="R51" s="17"/>
    </row>
    <row r="52" spans="1:18" x14ac:dyDescent="0.25">
      <c r="A52" s="17"/>
      <c r="B52" s="22"/>
      <c r="C52" s="17"/>
      <c r="D52" s="17"/>
      <c r="E52" s="17"/>
      <c r="F52" s="17"/>
      <c r="G52" s="17"/>
      <c r="H52" s="17"/>
      <c r="I52" s="17"/>
      <c r="J52" s="17"/>
      <c r="K52" s="17"/>
      <c r="L52" s="23"/>
      <c r="M52" s="23"/>
      <c r="N52" s="23"/>
      <c r="O52" s="24">
        <f t="shared" si="1"/>
        <v>0</v>
      </c>
      <c r="P52" s="17"/>
      <c r="Q52" s="17"/>
      <c r="R52" s="17"/>
    </row>
    <row r="53" spans="1:18" x14ac:dyDescent="0.25">
      <c r="A53" s="17"/>
      <c r="B53" s="22"/>
      <c r="C53" s="17"/>
      <c r="D53" s="17"/>
      <c r="E53" s="17"/>
      <c r="F53" s="17"/>
      <c r="G53" s="17"/>
      <c r="H53" s="17"/>
      <c r="I53" s="17"/>
      <c r="J53" s="17"/>
      <c r="K53" s="17"/>
      <c r="L53" s="23"/>
      <c r="M53" s="23"/>
      <c r="N53" s="23"/>
      <c r="O53" s="24">
        <f t="shared" si="1"/>
        <v>0</v>
      </c>
      <c r="P53" s="17"/>
      <c r="Q53" s="17"/>
      <c r="R53" s="17"/>
    </row>
    <row r="54" spans="1:18" x14ac:dyDescent="0.25">
      <c r="A54" s="17"/>
      <c r="B54" s="22"/>
      <c r="C54" s="17"/>
      <c r="D54" s="17"/>
      <c r="E54" s="17"/>
      <c r="F54" s="17"/>
      <c r="G54" s="17"/>
      <c r="H54" s="17"/>
      <c r="I54" s="17"/>
      <c r="J54" s="17"/>
      <c r="K54" s="17"/>
      <c r="L54" s="23"/>
      <c r="M54" s="23"/>
      <c r="N54" s="23"/>
      <c r="O54" s="24">
        <f t="shared" si="1"/>
        <v>0</v>
      </c>
      <c r="P54" s="17"/>
      <c r="Q54" s="17"/>
      <c r="R54" s="17"/>
    </row>
    <row r="55" spans="1:18" x14ac:dyDescent="0.25">
      <c r="A55" s="17"/>
      <c r="B55" s="22"/>
      <c r="C55" s="17"/>
      <c r="D55" s="17"/>
      <c r="E55" s="17"/>
      <c r="F55" s="17"/>
      <c r="G55" s="17"/>
      <c r="H55" s="17"/>
      <c r="I55" s="17"/>
      <c r="J55" s="17"/>
      <c r="K55" s="17"/>
      <c r="L55" s="23"/>
      <c r="M55" s="23"/>
      <c r="N55" s="23"/>
      <c r="O55" s="24">
        <f t="shared" si="1"/>
        <v>0</v>
      </c>
      <c r="P55" s="17"/>
      <c r="Q55" s="17"/>
      <c r="R55" s="17"/>
    </row>
    <row r="56" spans="1:18" x14ac:dyDescent="0.25">
      <c r="A56" s="17"/>
      <c r="B56" s="22"/>
      <c r="C56" s="17"/>
      <c r="D56" s="17"/>
      <c r="E56" s="17"/>
      <c r="F56" s="17"/>
      <c r="G56" s="17"/>
      <c r="H56" s="17"/>
      <c r="I56" s="17"/>
      <c r="J56" s="17"/>
      <c r="K56" s="17"/>
      <c r="L56" s="23"/>
      <c r="M56" s="23"/>
      <c r="N56" s="23"/>
      <c r="O56" s="24">
        <f t="shared" si="1"/>
        <v>0</v>
      </c>
      <c r="P56" s="17"/>
      <c r="Q56" s="17"/>
      <c r="R56" s="17"/>
    </row>
    <row r="57" spans="1:18" x14ac:dyDescent="0.25">
      <c r="A57" s="17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23"/>
      <c r="M57" s="23"/>
      <c r="N57" s="23"/>
      <c r="O57" s="24">
        <f t="shared" si="1"/>
        <v>0</v>
      </c>
      <c r="P57" s="17"/>
      <c r="Q57" s="17"/>
      <c r="R57" s="17"/>
    </row>
    <row r="58" spans="1:18" x14ac:dyDescent="0.25">
      <c r="A58" s="17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23"/>
      <c r="M58" s="23"/>
      <c r="N58" s="23"/>
      <c r="O58" s="24">
        <f t="shared" si="1"/>
        <v>0</v>
      </c>
      <c r="P58" s="17"/>
      <c r="Q58" s="17"/>
      <c r="R58" s="17"/>
    </row>
    <row r="59" spans="1:18" x14ac:dyDescent="0.25">
      <c r="A59" s="17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23"/>
      <c r="M59" s="23"/>
      <c r="N59" s="23"/>
      <c r="O59" s="24">
        <f t="shared" si="1"/>
        <v>0</v>
      </c>
      <c r="P59" s="17"/>
      <c r="Q59" s="17"/>
      <c r="R59" s="17"/>
    </row>
    <row r="60" spans="1:18" x14ac:dyDescent="0.25">
      <c r="A60" s="17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23"/>
      <c r="M60" s="23"/>
      <c r="N60" s="23"/>
      <c r="O60" s="24">
        <f t="shared" si="1"/>
        <v>0</v>
      </c>
      <c r="P60" s="17"/>
      <c r="Q60" s="17"/>
      <c r="R60" s="17"/>
    </row>
    <row r="61" spans="1:18" x14ac:dyDescent="0.25">
      <c r="A61" s="17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23"/>
      <c r="M61" s="23"/>
      <c r="N61" s="23"/>
      <c r="O61" s="24">
        <f t="shared" si="1"/>
        <v>0</v>
      </c>
      <c r="P61" s="17"/>
      <c r="Q61" s="17"/>
      <c r="R61" s="17"/>
    </row>
    <row r="62" spans="1:18" x14ac:dyDescent="0.25">
      <c r="A62" s="17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23"/>
      <c r="M62" s="23"/>
      <c r="N62" s="23"/>
      <c r="O62" s="24">
        <f t="shared" si="1"/>
        <v>0</v>
      </c>
      <c r="P62" s="17"/>
      <c r="Q62" s="17"/>
      <c r="R62" s="17"/>
    </row>
    <row r="63" spans="1:18" x14ac:dyDescent="0.25">
      <c r="A63" s="17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23"/>
      <c r="M63" s="23"/>
      <c r="N63" s="23"/>
      <c r="O63" s="24">
        <f t="shared" si="1"/>
        <v>0</v>
      </c>
      <c r="P63" s="17"/>
      <c r="Q63" s="17"/>
      <c r="R63" s="17"/>
    </row>
    <row r="64" spans="1:18" x14ac:dyDescent="0.25">
      <c r="A64" s="17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23"/>
      <c r="M64" s="23"/>
      <c r="N64" s="23"/>
      <c r="O64" s="24">
        <f t="shared" si="1"/>
        <v>0</v>
      </c>
      <c r="P64" s="17"/>
      <c r="Q64" s="17"/>
      <c r="R64" s="17"/>
    </row>
  </sheetData>
  <conditionalFormatting sqref="P5:P10004">
    <cfRule type="expression" dxfId="3" priority="1">
      <formula>$P5="Pendiente"</formula>
    </cfRule>
    <cfRule type="expression" dxfId="2" priority="2">
      <formula>$P5="Anulado"</formula>
    </cfRule>
  </conditionalFormatting>
  <dataValidations count="6">
    <dataValidation type="list" allowBlank="1" sqref="C5:C10004" xr:uid="{00000000-0002-0000-0D00-000000000000}">
      <formula1>Lst_TipoMovimiento</formula1>
    </dataValidation>
    <dataValidation type="list" allowBlank="1" sqref="H5:H10004" xr:uid="{00000000-0002-0000-0D00-000001000000}">
      <formula1>Lst_Categoria</formula1>
    </dataValidation>
    <dataValidation type="list" allowBlank="1" sqref="J5:J10004" xr:uid="{00000000-0002-0000-0D00-000002000000}">
      <formula1>Lst_MedioPago</formula1>
    </dataValidation>
    <dataValidation type="list" allowBlank="1" sqref="K5:K10004" xr:uid="{00000000-0002-0000-0D00-000003000000}">
      <formula1>Lst_Cuenta</formula1>
    </dataValidation>
    <dataValidation type="list" allowBlank="1" sqref="P5:P10004" xr:uid="{00000000-0002-0000-0D00-000004000000}">
      <formula1>Lst_EstadoMovimiento</formula1>
    </dataValidation>
    <dataValidation type="list" allowBlank="1" sqref="E5:E10004" xr:uid="{00000000-0002-0000-0D00-000005000000}">
      <formula1>Lst_TerceroNombre</formula1>
    </dataValidation>
  </dataValidation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32"/>
  </sheetPr>
  <dimension ref="A1:I2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3" customWidth="1"/>
    <col min="5" max="5" width="12" customWidth="1"/>
    <col min="6" max="6" width="15" customWidth="1"/>
    <col min="7" max="7" width="17" customWidth="1"/>
    <col min="8" max="8" width="12" customWidth="1"/>
    <col min="9" max="9" width="19" customWidth="1"/>
  </cols>
  <sheetData>
    <row r="1" spans="1:9" ht="21" x14ac:dyDescent="0.35">
      <c r="A1" s="1" t="s">
        <v>59</v>
      </c>
    </row>
    <row r="2" spans="1:9" x14ac:dyDescent="0.25">
      <c r="A2" s="2" t="s">
        <v>329</v>
      </c>
    </row>
    <row r="4" spans="1:9" ht="27.95" customHeight="1" x14ac:dyDescent="0.25">
      <c r="A4" s="14" t="s">
        <v>289</v>
      </c>
      <c r="B4" s="14" t="s">
        <v>311</v>
      </c>
      <c r="C4" s="14" t="s">
        <v>330</v>
      </c>
      <c r="D4" s="14" t="s">
        <v>312</v>
      </c>
      <c r="E4" s="14" t="s">
        <v>327</v>
      </c>
      <c r="F4" s="14" t="s">
        <v>273</v>
      </c>
      <c r="G4" s="14" t="s">
        <v>331</v>
      </c>
      <c r="H4" s="14" t="s">
        <v>248</v>
      </c>
      <c r="I4" s="14" t="s">
        <v>195</v>
      </c>
    </row>
    <row r="5" spans="1:9" x14ac:dyDescent="0.25">
      <c r="B5" s="20"/>
      <c r="G5" s="21"/>
    </row>
    <row r="6" spans="1:9" x14ac:dyDescent="0.25">
      <c r="B6" s="20"/>
      <c r="G6" s="21"/>
    </row>
    <row r="7" spans="1:9" x14ac:dyDescent="0.25">
      <c r="B7" s="20"/>
      <c r="G7" s="21"/>
    </row>
    <row r="8" spans="1:9" x14ac:dyDescent="0.25">
      <c r="B8" s="20"/>
      <c r="G8" s="21"/>
    </row>
    <row r="9" spans="1:9" x14ac:dyDescent="0.25">
      <c r="B9" s="20"/>
      <c r="G9" s="21"/>
    </row>
    <row r="10" spans="1:9" x14ac:dyDescent="0.25">
      <c r="B10" s="20"/>
      <c r="G10" s="21"/>
    </row>
    <row r="11" spans="1:9" x14ac:dyDescent="0.25">
      <c r="B11" s="20"/>
      <c r="G11" s="21"/>
    </row>
    <row r="12" spans="1:9" x14ac:dyDescent="0.25">
      <c r="B12" s="20"/>
      <c r="G12" s="21"/>
    </row>
    <row r="13" spans="1:9" x14ac:dyDescent="0.25">
      <c r="B13" s="20"/>
      <c r="G13" s="21"/>
    </row>
    <row r="14" spans="1:9" x14ac:dyDescent="0.25">
      <c r="B14" s="20"/>
      <c r="G14" s="21"/>
    </row>
    <row r="15" spans="1:9" x14ac:dyDescent="0.25">
      <c r="B15" s="20"/>
      <c r="G15" s="21"/>
    </row>
    <row r="16" spans="1:9" x14ac:dyDescent="0.25">
      <c r="B16" s="20"/>
      <c r="G16" s="21"/>
    </row>
    <row r="17" spans="2:7" x14ac:dyDescent="0.25">
      <c r="B17" s="20"/>
      <c r="G17" s="21"/>
    </row>
    <row r="18" spans="2:7" x14ac:dyDescent="0.25">
      <c r="B18" s="20"/>
      <c r="G18" s="21"/>
    </row>
    <row r="19" spans="2:7" x14ac:dyDescent="0.25">
      <c r="B19" s="20"/>
      <c r="G19" s="21"/>
    </row>
    <row r="20" spans="2:7" x14ac:dyDescent="0.25">
      <c r="B20" s="20"/>
      <c r="G20" s="21"/>
    </row>
    <row r="21" spans="2:7" x14ac:dyDescent="0.25">
      <c r="B21" s="20"/>
      <c r="G21" s="21"/>
    </row>
    <row r="22" spans="2:7" x14ac:dyDescent="0.25">
      <c r="B22" s="20"/>
      <c r="G22" s="21"/>
    </row>
    <row r="23" spans="2:7" x14ac:dyDescent="0.25">
      <c r="B23" s="20"/>
      <c r="G23" s="21"/>
    </row>
    <row r="24" spans="2:7" x14ac:dyDescent="0.25">
      <c r="B24" s="20"/>
      <c r="G24" s="21"/>
    </row>
  </sheetData>
  <dataValidations count="3">
    <dataValidation type="list" allowBlank="1" sqref="E5:E10004" xr:uid="{00000000-0002-0000-0E00-000000000000}">
      <formula1>Lst_Cuenta</formula1>
    </dataValidation>
    <dataValidation type="list" allowBlank="1" sqref="F5:F10004" xr:uid="{00000000-0002-0000-0E00-000001000000}">
      <formula1>Lst_MedioPago</formula1>
    </dataValidation>
    <dataValidation type="list" allowBlank="1" sqref="H5:H10004" xr:uid="{00000000-0002-0000-0E00-000002000000}">
      <formula1>Lst_EstadoPagoCobro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I2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3" customWidth="1"/>
    <col min="5" max="5" width="12" customWidth="1"/>
    <col min="6" max="6" width="15" customWidth="1"/>
    <col min="7" max="7" width="18" customWidth="1"/>
    <col min="8" max="8" width="12" customWidth="1"/>
    <col min="9" max="9" width="19" customWidth="1"/>
  </cols>
  <sheetData>
    <row r="1" spans="1:9" ht="21" x14ac:dyDescent="0.35">
      <c r="A1" s="1" t="s">
        <v>60</v>
      </c>
    </row>
    <row r="2" spans="1:9" x14ac:dyDescent="0.25">
      <c r="A2" s="2" t="s">
        <v>332</v>
      </c>
    </row>
    <row r="4" spans="1:9" ht="27.95" customHeight="1" x14ac:dyDescent="0.25">
      <c r="A4" s="14" t="s">
        <v>289</v>
      </c>
      <c r="B4" s="14" t="s">
        <v>311</v>
      </c>
      <c r="C4" s="14" t="s">
        <v>330</v>
      </c>
      <c r="D4" s="14" t="s">
        <v>312</v>
      </c>
      <c r="E4" s="14" t="s">
        <v>327</v>
      </c>
      <c r="F4" s="14" t="s">
        <v>273</v>
      </c>
      <c r="G4" s="14" t="s">
        <v>333</v>
      </c>
      <c r="H4" s="14" t="s">
        <v>248</v>
      </c>
      <c r="I4" s="14" t="s">
        <v>195</v>
      </c>
    </row>
    <row r="5" spans="1:9" x14ac:dyDescent="0.25">
      <c r="B5" s="20"/>
      <c r="G5" s="21"/>
    </row>
    <row r="6" spans="1:9" x14ac:dyDescent="0.25">
      <c r="B6" s="20"/>
      <c r="G6" s="21"/>
    </row>
    <row r="7" spans="1:9" x14ac:dyDescent="0.25">
      <c r="B7" s="20"/>
      <c r="G7" s="21"/>
    </row>
    <row r="8" spans="1:9" x14ac:dyDescent="0.25">
      <c r="B8" s="20"/>
      <c r="G8" s="21"/>
    </row>
    <row r="9" spans="1:9" x14ac:dyDescent="0.25">
      <c r="B9" s="20"/>
      <c r="G9" s="21"/>
    </row>
    <row r="10" spans="1:9" x14ac:dyDescent="0.25">
      <c r="B10" s="20"/>
      <c r="G10" s="21"/>
    </row>
    <row r="11" spans="1:9" x14ac:dyDescent="0.25">
      <c r="B11" s="20"/>
      <c r="G11" s="21"/>
    </row>
    <row r="12" spans="1:9" x14ac:dyDescent="0.25">
      <c r="B12" s="20"/>
      <c r="G12" s="21"/>
    </row>
    <row r="13" spans="1:9" x14ac:dyDescent="0.25">
      <c r="B13" s="20"/>
      <c r="G13" s="21"/>
    </row>
    <row r="14" spans="1:9" x14ac:dyDescent="0.25">
      <c r="B14" s="20"/>
      <c r="G14" s="21"/>
    </row>
    <row r="15" spans="1:9" x14ac:dyDescent="0.25">
      <c r="B15" s="20"/>
      <c r="G15" s="21"/>
    </row>
    <row r="16" spans="1:9" x14ac:dyDescent="0.25">
      <c r="B16" s="20"/>
      <c r="G16" s="21"/>
    </row>
    <row r="17" spans="2:7" x14ac:dyDescent="0.25">
      <c r="B17" s="20"/>
      <c r="G17" s="21"/>
    </row>
    <row r="18" spans="2:7" x14ac:dyDescent="0.25">
      <c r="B18" s="20"/>
      <c r="G18" s="21"/>
    </row>
    <row r="19" spans="2:7" x14ac:dyDescent="0.25">
      <c r="B19" s="20"/>
      <c r="G19" s="21"/>
    </row>
    <row r="20" spans="2:7" x14ac:dyDescent="0.25">
      <c r="B20" s="20"/>
      <c r="G20" s="21"/>
    </row>
    <row r="21" spans="2:7" x14ac:dyDescent="0.25">
      <c r="B21" s="20"/>
      <c r="G21" s="21"/>
    </row>
    <row r="22" spans="2:7" x14ac:dyDescent="0.25">
      <c r="B22" s="20"/>
      <c r="G22" s="21"/>
    </row>
    <row r="23" spans="2:7" x14ac:dyDescent="0.25">
      <c r="B23" s="20"/>
      <c r="G23" s="21"/>
    </row>
    <row r="24" spans="2:7" x14ac:dyDescent="0.25">
      <c r="B24" s="20"/>
      <c r="G24" s="21"/>
    </row>
  </sheetData>
  <dataValidations count="3">
    <dataValidation type="list" allowBlank="1" sqref="E5:E10004" xr:uid="{00000000-0002-0000-0F00-000000000000}">
      <formula1>Lst_Cuenta</formula1>
    </dataValidation>
    <dataValidation type="list" allowBlank="1" sqref="F5:F10004" xr:uid="{00000000-0002-0000-0F00-000001000000}">
      <formula1>Lst_MedioPago</formula1>
    </dataValidation>
    <dataValidation type="list" allowBlank="1" sqref="H5:H10004" xr:uid="{00000000-0002-0000-0F00-000002000000}">
      <formula1>Lst_EstadoPagoCobro</formula1>
    </dataValidation>
  </dataValidation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8"/>
  </sheetPr>
  <dimension ref="A1:I8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3" customWidth="1"/>
    <col min="5" max="5" width="22" customWidth="1"/>
    <col min="6" max="6" width="18" customWidth="1"/>
    <col min="7" max="7" width="17" customWidth="1"/>
    <col min="8" max="8" width="12" customWidth="1"/>
    <col min="9" max="9" width="19" customWidth="1"/>
  </cols>
  <sheetData>
    <row r="1" spans="1:9" ht="21" x14ac:dyDescent="0.35">
      <c r="A1" s="16" t="s">
        <v>52</v>
      </c>
      <c r="B1" s="17"/>
      <c r="C1" s="17"/>
      <c r="D1" s="17"/>
      <c r="E1" s="17"/>
      <c r="F1" s="17"/>
      <c r="H1" s="17"/>
      <c r="I1" s="17"/>
    </row>
    <row r="2" spans="1:9" x14ac:dyDescent="0.25">
      <c r="A2" s="18" t="s">
        <v>334</v>
      </c>
      <c r="B2" s="17"/>
      <c r="C2" s="17"/>
      <c r="D2" s="17"/>
      <c r="E2" s="17"/>
      <c r="F2" s="17"/>
      <c r="H2" s="17"/>
      <c r="I2" s="17"/>
    </row>
    <row r="3" spans="1:9" x14ac:dyDescent="0.25">
      <c r="A3" s="17"/>
      <c r="B3" s="17"/>
      <c r="C3" s="17"/>
      <c r="D3" s="17"/>
      <c r="E3" s="17"/>
      <c r="F3" s="17"/>
      <c r="H3" s="17"/>
      <c r="I3" s="17"/>
    </row>
    <row r="4" spans="1:9" ht="27.95" customHeight="1" x14ac:dyDescent="0.25">
      <c r="A4" s="19" t="s">
        <v>289</v>
      </c>
      <c r="B4" s="19" t="s">
        <v>327</v>
      </c>
      <c r="C4" s="19" t="s">
        <v>117</v>
      </c>
      <c r="D4" s="19" t="s">
        <v>335</v>
      </c>
      <c r="E4" s="19" t="s">
        <v>336</v>
      </c>
      <c r="F4" s="19" t="s">
        <v>337</v>
      </c>
      <c r="G4" s="14" t="s">
        <v>338</v>
      </c>
      <c r="H4" s="19" t="s">
        <v>150</v>
      </c>
      <c r="I4" s="19" t="s">
        <v>195</v>
      </c>
    </row>
    <row r="5" spans="1:9" x14ac:dyDescent="0.25">
      <c r="A5" s="17" t="s">
        <v>339</v>
      </c>
      <c r="B5" s="17" t="s">
        <v>340</v>
      </c>
      <c r="C5" s="17" t="s">
        <v>341</v>
      </c>
      <c r="D5" s="17"/>
      <c r="E5" s="17"/>
      <c r="F5" s="23">
        <v>0</v>
      </c>
      <c r="G5" s="21">
        <f>$F5+SUMIFS(MOVIMIENTOS!$O$5:$O$10004,MOVIMIENTOS!$K$5:$K$10004,$B5,MOVIMIENTOS!$C$5:$C$10004,"Ingreso",MOVIMIENTOS!$P$5:$P$10004,"Pagado")+SUMIFS(MOVIMIENTOS!$O$5:$O$10004,MOVIMIENTOS!$K$5:$K$10004,$B5,MOVIMIENTOS!$C$5:$C$10004,"Venta",MOVIMIENTOS!$P$5:$P$10004,"Pagado")-SUMIFS(MOVIMIENTOS!$O$5:$O$10004,MOVIMIENTOS!$K$5:$K$10004,$B5,MOVIMIENTOS!$C$5:$C$10004,"Gasto",MOVIMIENTOS!$P$5:$P$10004,"Pagado")-SUMIFS(MOVIMIENTOS!$O$5:$O$10004,MOVIMIENTOS!$K$5:$K$10004,$B5,MOVIMIENTOS!$C$5:$C$10004,"Compra",MOVIMIENTOS!$P$5:$P$10004,"Pagado")</f>
        <v>0</v>
      </c>
      <c r="H5" s="17" t="s">
        <v>155</v>
      </c>
      <c r="I5" s="17"/>
    </row>
    <row r="6" spans="1:9" x14ac:dyDescent="0.25">
      <c r="A6" s="17" t="s">
        <v>342</v>
      </c>
      <c r="B6" s="17" t="s">
        <v>343</v>
      </c>
      <c r="C6" s="17" t="s">
        <v>344</v>
      </c>
      <c r="D6" s="17" t="s">
        <v>345</v>
      </c>
      <c r="E6" s="17"/>
      <c r="F6" s="23">
        <v>0</v>
      </c>
      <c r="G6" s="21">
        <f>$F6+SUMIFS(MOVIMIENTOS!$O$5:$O$10004,MOVIMIENTOS!$K$5:$K$10004,$B6,MOVIMIENTOS!$C$5:$C$10004,"Ingreso",MOVIMIENTOS!$P$5:$P$10004,"Pagado")+SUMIFS(MOVIMIENTOS!$O$5:$O$10004,MOVIMIENTOS!$K$5:$K$10004,$B6,MOVIMIENTOS!$C$5:$C$10004,"Venta",MOVIMIENTOS!$P$5:$P$10004,"Pagado")-SUMIFS(MOVIMIENTOS!$O$5:$O$10004,MOVIMIENTOS!$K$5:$K$10004,$B6,MOVIMIENTOS!$C$5:$C$10004,"Gasto",MOVIMIENTOS!$P$5:$P$10004,"Pagado")-SUMIFS(MOVIMIENTOS!$O$5:$O$10004,MOVIMIENTOS!$K$5:$K$10004,$B6,MOVIMIENTOS!$C$5:$C$10004,"Compra",MOVIMIENTOS!$P$5:$P$10004,"Pagado")</f>
        <v>0</v>
      </c>
      <c r="H6" s="17" t="s">
        <v>155</v>
      </c>
      <c r="I6" s="17"/>
    </row>
    <row r="7" spans="1:9" x14ac:dyDescent="0.25">
      <c r="A7" s="17" t="s">
        <v>346</v>
      </c>
      <c r="B7" s="17" t="s">
        <v>36</v>
      </c>
      <c r="C7" s="17" t="s">
        <v>347</v>
      </c>
      <c r="D7" s="17"/>
      <c r="E7" s="17"/>
      <c r="F7" s="23">
        <v>0</v>
      </c>
      <c r="G7" s="21">
        <f>$F7+SUMIFS(MOVIMIENTOS!$O$5:$O$10004,MOVIMIENTOS!$K$5:$K$10004,$B7,MOVIMIENTOS!$C$5:$C$10004,"Ingreso",MOVIMIENTOS!$P$5:$P$10004,"Pagado")+SUMIFS(MOVIMIENTOS!$O$5:$O$10004,MOVIMIENTOS!$K$5:$K$10004,$B7,MOVIMIENTOS!$C$5:$C$10004,"Venta",MOVIMIENTOS!$P$5:$P$10004,"Pagado")-SUMIFS(MOVIMIENTOS!$O$5:$O$10004,MOVIMIENTOS!$K$5:$K$10004,$B7,MOVIMIENTOS!$C$5:$C$10004,"Gasto",MOVIMIENTOS!$P$5:$P$10004,"Pagado")-SUMIFS(MOVIMIENTOS!$O$5:$O$10004,MOVIMIENTOS!$K$5:$K$10004,$B7,MOVIMIENTOS!$C$5:$C$10004,"Compra",MOVIMIENTOS!$P$5:$P$10004,"Pagado")</f>
        <v>0</v>
      </c>
      <c r="H7" s="17" t="s">
        <v>155</v>
      </c>
      <c r="I7" s="17"/>
    </row>
    <row r="8" spans="1:9" x14ac:dyDescent="0.25">
      <c r="A8" s="17" t="s">
        <v>348</v>
      </c>
      <c r="B8" s="17" t="s">
        <v>37</v>
      </c>
      <c r="C8" s="17" t="s">
        <v>349</v>
      </c>
      <c r="D8" s="17"/>
      <c r="E8" s="17"/>
      <c r="F8" s="23">
        <v>0</v>
      </c>
      <c r="G8" s="21">
        <f>$F8+SUMIFS(MOVIMIENTOS!$O$5:$O$10004,MOVIMIENTOS!$K$5:$K$10004,$B8,MOVIMIENTOS!$C$5:$C$10004,"Ingreso",MOVIMIENTOS!$P$5:$P$10004,"Pagado")+SUMIFS(MOVIMIENTOS!$O$5:$O$10004,MOVIMIENTOS!$K$5:$K$10004,$B8,MOVIMIENTOS!$C$5:$C$10004,"Venta",MOVIMIENTOS!$P$5:$P$10004,"Pagado")-SUMIFS(MOVIMIENTOS!$O$5:$O$10004,MOVIMIENTOS!$K$5:$K$10004,$B8,MOVIMIENTOS!$C$5:$C$10004,"Gasto",MOVIMIENTOS!$P$5:$P$10004,"Pagado")-SUMIFS(MOVIMIENTOS!$O$5:$O$10004,MOVIMIENTOS!$K$5:$K$10004,$B8,MOVIMIENTOS!$C$5:$C$10004,"Compra",MOVIMIENTOS!$P$5:$P$10004,"Pagado")</f>
        <v>0</v>
      </c>
      <c r="H8" s="17" t="s">
        <v>155</v>
      </c>
      <c r="I8" s="17"/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7791F"/>
  </sheetPr>
  <dimension ref="A1:F2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1" customWidth="1"/>
    <col min="2" max="2" width="48" customWidth="1"/>
    <col min="3" max="6" width="16" customWidth="1"/>
  </cols>
  <sheetData>
    <row r="1" spans="1:2" ht="21" x14ac:dyDescent="0.35">
      <c r="A1" s="1" t="s">
        <v>350</v>
      </c>
    </row>
    <row r="2" spans="1:2" x14ac:dyDescent="0.25">
      <c r="A2" s="2" t="s">
        <v>351</v>
      </c>
    </row>
    <row r="4" spans="1:2" x14ac:dyDescent="0.25">
      <c r="A4" s="3" t="s">
        <v>352</v>
      </c>
    </row>
    <row r="5" spans="1:2" x14ac:dyDescent="0.25">
      <c r="A5" t="s">
        <v>353</v>
      </c>
      <c r="B5" s="5"/>
    </row>
    <row r="6" spans="1:2" x14ac:dyDescent="0.25">
      <c r="A6" t="s">
        <v>354</v>
      </c>
      <c r="B6" s="5"/>
    </row>
    <row r="8" spans="1:2" x14ac:dyDescent="0.25">
      <c r="A8" s="3" t="s">
        <v>355</v>
      </c>
    </row>
    <row r="9" spans="1:2" x14ac:dyDescent="0.25">
      <c r="A9" s="6" t="s">
        <v>248</v>
      </c>
      <c r="B9" s="25" t="str">
        <f>IF($B$6="","Escriba un concepto",IF(MAX('REGLAS_IA'!$K$5:$K$104)=0,"Sin coincidencia",IF(COUNTIF('REGLAS_IA'!$K$5:$K$104,MAX('REGLAS_IA'!$K$5:$K$104))&gt;1,"Conflicto: ajuste prioridad","Sugerencia lista para revisar")))</f>
        <v>Escriba un concepto</v>
      </c>
    </row>
    <row r="10" spans="1:2" x14ac:dyDescent="0.25">
      <c r="A10" s="6" t="s">
        <v>117</v>
      </c>
      <c r="B10" s="26" t="str">
        <f>IF($B$9&lt;&gt;"Sugerencia lista para revisar","",IFERROR(INDEX('REGLAS_IA'!$D$5:$D$104,MATCH(MAX('REGLAS_IA'!$K$5:$K$104),'REGLAS_IA'!$K$5:$K$104,0)),""))</f>
        <v/>
      </c>
    </row>
    <row r="11" spans="1:2" x14ac:dyDescent="0.25">
      <c r="A11" s="6" t="s">
        <v>356</v>
      </c>
      <c r="B11" s="26" t="str">
        <f>IF($B$9&lt;&gt;"Sugerencia lista para revisar","",IFERROR(INDEX('REGLAS_IA'!$E$5:$E$104,MATCH(MAX('REGLAS_IA'!$K$5:$K$104),'REGLAS_IA'!$K$5:$K$104,0)),""))</f>
        <v/>
      </c>
    </row>
    <row r="12" spans="1:2" x14ac:dyDescent="0.25">
      <c r="A12" s="6" t="s">
        <v>357</v>
      </c>
      <c r="B12" s="26" t="str">
        <f>IF($B$9&lt;&gt;"Sugerencia lista para revisar","",IFERROR(INDEX('REGLAS_IA'!$F$5:$F$104,MATCH(MAX('REGLAS_IA'!$K$5:$K$104),'REGLAS_IA'!$K$5:$K$104,0)),""))</f>
        <v/>
      </c>
    </row>
    <row r="13" spans="1:2" x14ac:dyDescent="0.25">
      <c r="A13" s="6" t="s">
        <v>358</v>
      </c>
      <c r="B13" s="26" t="str">
        <f>IF($B$9&lt;&gt;"Sugerencia lista para revisar","",IFERROR(INDEX('REGLAS_IA'!$G$5:$G$104,MATCH(MAX('REGLAS_IA'!$K$5:$K$104),'REGLAS_IA'!$K$5:$K$104,0)),""))</f>
        <v/>
      </c>
    </row>
    <row r="14" spans="1:2" x14ac:dyDescent="0.25">
      <c r="A14" s="6" t="s">
        <v>327</v>
      </c>
      <c r="B14" s="26" t="str">
        <f>IF($B$9&lt;&gt;"Sugerencia lista para revisar","",IFERROR(INDEX('REGLAS_IA'!$H$5:$H$104,MATCH(MAX('REGLAS_IA'!$K$5:$K$104),'REGLAS_IA'!$K$5:$K$104,0)),""))</f>
        <v/>
      </c>
    </row>
    <row r="15" spans="1:2" x14ac:dyDescent="0.25">
      <c r="A15" s="6" t="s">
        <v>359</v>
      </c>
      <c r="B15" s="26" t="str">
        <f>IF($B$9&lt;&gt;"Sugerencia lista para revisar","",IFERROR(INDEX('REGLAS_IA'!$C$5:$C$104,MATCH(MAX('REGLAS_IA'!$K$5:$K$104),'REGLAS_IA'!$K$5:$K$104,0)),""))</f>
        <v/>
      </c>
    </row>
    <row r="16" spans="1:2" x14ac:dyDescent="0.25">
      <c r="A16" s="6" t="s">
        <v>360</v>
      </c>
      <c r="B16" s="26" t="str">
        <f>IF($B$9&lt;&gt;"Sugerencia lista para revisar","",IFERROR(INDEX('REGLAS_IA'!$J$5:$J$104,MATCH(MAX('REGLAS_IA'!$K$5:$K$104),'REGLAS_IA'!$K$5:$K$104,0)),""))</f>
        <v/>
      </c>
    </row>
    <row r="18" spans="1:6" x14ac:dyDescent="0.25">
      <c r="A18" s="3" t="s">
        <v>361</v>
      </c>
    </row>
    <row r="19" spans="1:6" x14ac:dyDescent="0.25">
      <c r="A19" t="s">
        <v>362</v>
      </c>
    </row>
    <row r="20" spans="1:6" x14ac:dyDescent="0.25">
      <c r="A20" t="s">
        <v>363</v>
      </c>
    </row>
    <row r="21" spans="1:6" x14ac:dyDescent="0.25">
      <c r="A21" t="s">
        <v>364</v>
      </c>
    </row>
    <row r="23" spans="1:6" x14ac:dyDescent="0.25">
      <c r="A23" s="37" t="s">
        <v>365</v>
      </c>
      <c r="B23" s="33"/>
      <c r="C23" s="33"/>
      <c r="D23" s="33"/>
      <c r="E23" s="33"/>
      <c r="F23" s="33"/>
    </row>
    <row r="24" spans="1:6" x14ac:dyDescent="0.25">
      <c r="A24" s="33"/>
      <c r="B24" s="33"/>
      <c r="C24" s="33"/>
      <c r="D24" s="33"/>
      <c r="E24" s="33"/>
      <c r="F24" s="33"/>
    </row>
    <row r="26" spans="1:6" x14ac:dyDescent="0.25">
      <c r="A26" s="4" t="s">
        <v>366</v>
      </c>
    </row>
    <row r="27" spans="1:6" x14ac:dyDescent="0.25">
      <c r="A27" s="4" t="s">
        <v>367</v>
      </c>
    </row>
  </sheetData>
  <mergeCells count="1">
    <mergeCell ref="A23:F24"/>
  </mergeCells>
  <conditionalFormatting sqref="B9">
    <cfRule type="expression" dxfId="1" priority="1">
      <formula>$B$9="Sugerencia lista para revisar"</formula>
    </cfRule>
    <cfRule type="expression" dxfId="0" priority="2">
      <formula>OR($B$9="Conflicto: ajuste prioridad",$B$9="Sin coincidencia")</formula>
    </cfRule>
  </conditionalFormatting>
  <hyperlinks>
    <hyperlink ref="A26" location="'REGLAS_IA'!A1" display="Editar las reglas y crear patrones propios" xr:uid="{00000000-0004-0000-1100-000000000000}"/>
    <hyperlink ref="A27" location="'INICIO'!A1" display="Volver al inicio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E78"/>
  </sheetPr>
  <dimension ref="A1:L10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4" customWidth="1"/>
    <col min="4" max="4" width="14" customWidth="1"/>
    <col min="5" max="5" width="22" customWidth="1"/>
    <col min="6" max="6" width="24" customWidth="1"/>
    <col min="7" max="7" width="18" customWidth="1"/>
    <col min="8" max="8" width="22" customWidth="1"/>
    <col min="9" max="9" width="24" customWidth="1"/>
    <col min="10" max="10" width="12" customWidth="1"/>
    <col min="11" max="11" width="16" customWidth="1"/>
    <col min="12" max="12" width="28" customWidth="1"/>
  </cols>
  <sheetData>
    <row r="1" spans="1:12" ht="21" x14ac:dyDescent="0.35">
      <c r="A1" s="16" t="s">
        <v>56</v>
      </c>
      <c r="B1" s="17"/>
      <c r="C1" s="17"/>
      <c r="D1" s="17"/>
      <c r="E1" s="17"/>
      <c r="F1" s="17"/>
      <c r="G1" s="17"/>
      <c r="H1" s="17"/>
      <c r="I1" s="17"/>
      <c r="J1" s="17"/>
      <c r="L1" s="17"/>
    </row>
    <row r="2" spans="1:12" x14ac:dyDescent="0.25">
      <c r="A2" s="18" t="s">
        <v>368</v>
      </c>
      <c r="B2" s="17"/>
      <c r="C2" s="17"/>
      <c r="D2" s="17"/>
      <c r="E2" s="17"/>
      <c r="F2" s="17"/>
      <c r="G2" s="17"/>
      <c r="H2" s="17"/>
      <c r="I2" s="17"/>
      <c r="J2" s="17"/>
      <c r="L2" s="17"/>
    </row>
    <row r="3" spans="1:12" ht="30" customHeight="1" x14ac:dyDescent="0.25">
      <c r="A3" s="38" t="s">
        <v>369</v>
      </c>
      <c r="B3" s="39"/>
      <c r="C3" s="39"/>
      <c r="D3" s="39"/>
      <c r="E3" s="39"/>
      <c r="F3" s="39"/>
      <c r="G3" s="39"/>
      <c r="H3" s="39"/>
      <c r="I3" s="39"/>
      <c r="J3" s="39"/>
      <c r="K3" s="33"/>
      <c r="L3" s="39"/>
    </row>
    <row r="4" spans="1:12" ht="27.95" customHeight="1" x14ac:dyDescent="0.25">
      <c r="A4" s="19" t="s">
        <v>289</v>
      </c>
      <c r="B4" s="19" t="s">
        <v>150</v>
      </c>
      <c r="C4" s="19" t="s">
        <v>370</v>
      </c>
      <c r="D4" s="19" t="s">
        <v>117</v>
      </c>
      <c r="E4" s="19" t="s">
        <v>148</v>
      </c>
      <c r="F4" s="19" t="s">
        <v>149</v>
      </c>
      <c r="G4" s="19" t="s">
        <v>273</v>
      </c>
      <c r="H4" s="19" t="s">
        <v>327</v>
      </c>
      <c r="I4" s="19" t="s">
        <v>371</v>
      </c>
      <c r="J4" s="19" t="s">
        <v>372</v>
      </c>
      <c r="K4" s="14" t="s">
        <v>373</v>
      </c>
      <c r="L4" s="19" t="s">
        <v>195</v>
      </c>
    </row>
    <row r="5" spans="1:12" x14ac:dyDescent="0.25">
      <c r="A5" s="17" t="s">
        <v>374</v>
      </c>
      <c r="B5" s="17" t="s">
        <v>375</v>
      </c>
      <c r="C5" s="17" t="s">
        <v>376</v>
      </c>
      <c r="D5" s="17" t="s">
        <v>162</v>
      </c>
      <c r="E5" s="17" t="s">
        <v>168</v>
      </c>
      <c r="F5" s="17" t="s">
        <v>171</v>
      </c>
      <c r="G5" s="17"/>
      <c r="H5" s="17"/>
      <c r="I5" s="17"/>
      <c r="J5" s="27">
        <v>20</v>
      </c>
      <c r="K5" s="28">
        <f>IF(OR(B5&lt;&gt;"Sí",C5="",ASISTENTE!$B$6=""),0,IFERROR(IF(AND(OR(I5="",ISNUMBER(SEARCH(I5,ASISTENTE!$B$5))),ISNUMBER(SEARCH(C5,ASISTENTE!$B$5&amp;" "&amp;ASISTENTE!$B$6))),J5,0),0))</f>
        <v>0</v>
      </c>
      <c r="L5" s="17" t="s">
        <v>377</v>
      </c>
    </row>
    <row r="6" spans="1:12" x14ac:dyDescent="0.25">
      <c r="A6" s="17" t="s">
        <v>378</v>
      </c>
      <c r="B6" s="17" t="s">
        <v>375</v>
      </c>
      <c r="C6" s="17" t="s">
        <v>379</v>
      </c>
      <c r="D6" s="17" t="s">
        <v>162</v>
      </c>
      <c r="E6" s="17" t="s">
        <v>163</v>
      </c>
      <c r="F6" s="17" t="s">
        <v>164</v>
      </c>
      <c r="G6" s="17"/>
      <c r="H6" s="17"/>
      <c r="I6" s="17"/>
      <c r="J6" s="27">
        <v>20</v>
      </c>
      <c r="K6" s="28">
        <f>IF(OR(B6&lt;&gt;"Sí",C6="",ASISTENTE!$B$6=""),0,IFERROR(IF(AND(OR(I6="",ISNUMBER(SEARCH(I6,ASISTENTE!$B$5))),ISNUMBER(SEARCH(C6,ASISTENTE!$B$5&amp;" "&amp;ASISTENTE!$B$6))),J6,0),0))</f>
        <v>0</v>
      </c>
      <c r="L6" s="17" t="s">
        <v>380</v>
      </c>
    </row>
    <row r="7" spans="1:12" x14ac:dyDescent="0.25">
      <c r="A7" s="17" t="s">
        <v>381</v>
      </c>
      <c r="B7" s="17" t="s">
        <v>375</v>
      </c>
      <c r="C7" s="17" t="s">
        <v>382</v>
      </c>
      <c r="D7" s="17" t="s">
        <v>162</v>
      </c>
      <c r="E7" s="17" t="s">
        <v>163</v>
      </c>
      <c r="F7" s="17" t="s">
        <v>164</v>
      </c>
      <c r="G7" s="17"/>
      <c r="H7" s="17"/>
      <c r="I7" s="17"/>
      <c r="J7" s="27">
        <v>20</v>
      </c>
      <c r="K7" s="28">
        <f>IF(OR(B7&lt;&gt;"Sí",C7="",ASISTENTE!$B$6=""),0,IFERROR(IF(AND(OR(I7="",ISNUMBER(SEARCH(I7,ASISTENTE!$B$5))),ISNUMBER(SEARCH(C7,ASISTENTE!$B$5&amp;" "&amp;ASISTENTE!$B$6))),J7,0),0))</f>
        <v>0</v>
      </c>
      <c r="L7" s="17" t="s">
        <v>383</v>
      </c>
    </row>
    <row r="8" spans="1:12" x14ac:dyDescent="0.25">
      <c r="A8" s="17" t="s">
        <v>384</v>
      </c>
      <c r="B8" s="17" t="s">
        <v>375</v>
      </c>
      <c r="C8" s="17" t="s">
        <v>385</v>
      </c>
      <c r="D8" s="17" t="s">
        <v>162</v>
      </c>
      <c r="E8" s="17" t="s">
        <v>163</v>
      </c>
      <c r="F8" s="17" t="s">
        <v>166</v>
      </c>
      <c r="G8" s="17"/>
      <c r="H8" s="17"/>
      <c r="I8" s="17"/>
      <c r="J8" s="27">
        <v>20</v>
      </c>
      <c r="K8" s="28">
        <f>IF(OR(B8&lt;&gt;"Sí",C8="",ASISTENTE!$B$6=""),0,IFERROR(IF(AND(OR(I8="",ISNUMBER(SEARCH(I8,ASISTENTE!$B$5))),ISNUMBER(SEARCH(C8,ASISTENTE!$B$5&amp;" "&amp;ASISTENTE!$B$6))),J8,0),0))</f>
        <v>0</v>
      </c>
      <c r="L8" s="17" t="s">
        <v>377</v>
      </c>
    </row>
    <row r="9" spans="1:12" x14ac:dyDescent="0.25">
      <c r="A9" s="17" t="s">
        <v>386</v>
      </c>
      <c r="B9" s="17" t="s">
        <v>375</v>
      </c>
      <c r="C9" s="17" t="s">
        <v>387</v>
      </c>
      <c r="D9" s="17" t="s">
        <v>162</v>
      </c>
      <c r="E9" s="17" t="s">
        <v>168</v>
      </c>
      <c r="F9" s="17" t="s">
        <v>169</v>
      </c>
      <c r="G9" s="17"/>
      <c r="H9" s="17"/>
      <c r="I9" s="17"/>
      <c r="J9" s="27">
        <v>20</v>
      </c>
      <c r="K9" s="28">
        <f>IF(OR(B9&lt;&gt;"Sí",C9="",ASISTENTE!$B$6=""),0,IFERROR(IF(AND(OR(I9="",ISNUMBER(SEARCH(I9,ASISTENTE!$B$5))),ISNUMBER(SEARCH(C9,ASISTENTE!$B$5&amp;" "&amp;ASISTENTE!$B$6))),J9,0),0))</f>
        <v>0</v>
      </c>
      <c r="L9" s="17" t="s">
        <v>377</v>
      </c>
    </row>
    <row r="10" spans="1:12" x14ac:dyDescent="0.25">
      <c r="A10" s="17" t="s">
        <v>388</v>
      </c>
      <c r="B10" s="17" t="s">
        <v>375</v>
      </c>
      <c r="C10" s="17" t="s">
        <v>389</v>
      </c>
      <c r="D10" s="17" t="s">
        <v>162</v>
      </c>
      <c r="E10" s="17" t="s">
        <v>173</v>
      </c>
      <c r="F10" s="17" t="s">
        <v>174</v>
      </c>
      <c r="G10" s="17"/>
      <c r="H10" s="17"/>
      <c r="I10" s="17"/>
      <c r="J10" s="27">
        <v>20</v>
      </c>
      <c r="K10" s="28">
        <f>IF(OR(B10&lt;&gt;"Sí",C10="",ASISTENTE!$B$6=""),0,IFERROR(IF(AND(OR(I10="",ISNUMBER(SEARCH(I10,ASISTENTE!$B$5))),ISNUMBER(SEARCH(C10,ASISTENTE!$B$5&amp;" "&amp;ASISTENTE!$B$6))),J10,0),0))</f>
        <v>0</v>
      </c>
      <c r="L10" s="17" t="s">
        <v>380</v>
      </c>
    </row>
    <row r="11" spans="1:12" x14ac:dyDescent="0.25">
      <c r="A11" s="17" t="s">
        <v>390</v>
      </c>
      <c r="B11" s="17" t="s">
        <v>375</v>
      </c>
      <c r="C11" s="17" t="s">
        <v>391</v>
      </c>
      <c r="D11" s="17" t="s">
        <v>162</v>
      </c>
      <c r="E11" s="17" t="s">
        <v>173</v>
      </c>
      <c r="F11" s="17" t="s">
        <v>174</v>
      </c>
      <c r="G11" s="17"/>
      <c r="H11" s="17"/>
      <c r="I11" s="17"/>
      <c r="J11" s="27">
        <v>20</v>
      </c>
      <c r="K11" s="28">
        <f>IF(OR(B11&lt;&gt;"Sí",C11="",ASISTENTE!$B$6=""),0,IFERROR(IF(AND(OR(I11="",ISNUMBER(SEARCH(I11,ASISTENTE!$B$5))),ISNUMBER(SEARCH(C11,ASISTENTE!$B$5&amp;" "&amp;ASISTENTE!$B$6))),J11,0),0))</f>
        <v>0</v>
      </c>
      <c r="L11" s="17" t="s">
        <v>383</v>
      </c>
    </row>
    <row r="12" spans="1:12" x14ac:dyDescent="0.25">
      <c r="A12" s="17" t="s">
        <v>392</v>
      </c>
      <c r="B12" s="17" t="s">
        <v>375</v>
      </c>
      <c r="C12" s="17" t="s">
        <v>393</v>
      </c>
      <c r="D12" s="17" t="s">
        <v>152</v>
      </c>
      <c r="E12" s="17" t="s">
        <v>153</v>
      </c>
      <c r="F12" s="17" t="s">
        <v>154</v>
      </c>
      <c r="G12" s="17"/>
      <c r="H12" s="17"/>
      <c r="I12" s="17"/>
      <c r="J12" s="27">
        <v>30</v>
      </c>
      <c r="K12" s="28">
        <f>IF(OR(B12&lt;&gt;"Sí",C12="",ASISTENTE!$B$6=""),0,IFERROR(IF(AND(OR(I12="",ISNUMBER(SEARCH(I12,ASISTENTE!$B$5))),ISNUMBER(SEARCH(C12,ASISTENTE!$B$5&amp;" "&amp;ASISTENTE!$B$6))),J12,0),0))</f>
        <v>0</v>
      </c>
      <c r="L12" s="17" t="s">
        <v>394</v>
      </c>
    </row>
    <row r="13" spans="1:12" x14ac:dyDescent="0.25">
      <c r="A13" s="17" t="s">
        <v>395</v>
      </c>
      <c r="B13" s="17" t="s">
        <v>375</v>
      </c>
      <c r="C13" s="17" t="s">
        <v>396</v>
      </c>
      <c r="D13" s="17" t="s">
        <v>152</v>
      </c>
      <c r="E13" s="17" t="s">
        <v>153</v>
      </c>
      <c r="F13" s="17" t="s">
        <v>154</v>
      </c>
      <c r="G13" s="17"/>
      <c r="H13" s="17"/>
      <c r="I13" s="17"/>
      <c r="J13" s="27">
        <v>25</v>
      </c>
      <c r="K13" s="28">
        <f>IF(OR(B13&lt;&gt;"Sí",C13="",ASISTENTE!$B$6=""),0,IFERROR(IF(AND(OR(I13="",ISNUMBER(SEARCH(I13,ASISTENTE!$B$5))),ISNUMBER(SEARCH(C13,ASISTENTE!$B$5&amp;" "&amp;ASISTENTE!$B$6))),J13,0),0))</f>
        <v>0</v>
      </c>
      <c r="L13" s="17" t="s">
        <v>397</v>
      </c>
    </row>
    <row r="14" spans="1:12" x14ac:dyDescent="0.25">
      <c r="A14" s="17" t="s">
        <v>398</v>
      </c>
      <c r="B14" s="17" t="s">
        <v>375</v>
      </c>
      <c r="C14" s="17" t="s">
        <v>399</v>
      </c>
      <c r="D14" s="17" t="s">
        <v>152</v>
      </c>
      <c r="E14" s="17" t="s">
        <v>153</v>
      </c>
      <c r="F14" s="17" t="s">
        <v>157</v>
      </c>
      <c r="G14" s="17"/>
      <c r="H14" s="17"/>
      <c r="I14" s="17"/>
      <c r="J14" s="27">
        <v>30</v>
      </c>
      <c r="K14" s="28">
        <f>IF(OR(B14&lt;&gt;"Sí",C14="",ASISTENTE!$B$6=""),0,IFERROR(IF(AND(OR(I14="",ISNUMBER(SEARCH(I14,ASISTENTE!$B$5))),ISNUMBER(SEARCH(C14,ASISTENTE!$B$5&amp;" "&amp;ASISTENTE!$B$6))),J14,0),0))</f>
        <v>0</v>
      </c>
      <c r="L14" s="17" t="s">
        <v>394</v>
      </c>
    </row>
    <row r="15" spans="1:12" x14ac:dyDescent="0.25">
      <c r="A15" s="17" t="s">
        <v>400</v>
      </c>
      <c r="B15" s="17" t="s">
        <v>375</v>
      </c>
      <c r="C15" s="17" t="s">
        <v>401</v>
      </c>
      <c r="D15" s="17" t="s">
        <v>152</v>
      </c>
      <c r="E15" s="17" t="s">
        <v>153</v>
      </c>
      <c r="F15" s="17" t="s">
        <v>157</v>
      </c>
      <c r="G15" s="17"/>
      <c r="H15" s="17"/>
      <c r="I15" s="17"/>
      <c r="J15" s="27">
        <v>25</v>
      </c>
      <c r="K15" s="28">
        <f>IF(OR(B15&lt;&gt;"Sí",C15="",ASISTENTE!$B$6=""),0,IFERROR(IF(AND(OR(I15="",ISNUMBER(SEARCH(I15,ASISTENTE!$B$5))),ISNUMBER(SEARCH(C15,ASISTENTE!$B$5&amp;" "&amp;ASISTENTE!$B$6))),J15,0),0))</f>
        <v>0</v>
      </c>
      <c r="L15" s="17" t="s">
        <v>397</v>
      </c>
    </row>
    <row r="16" spans="1:12" x14ac:dyDescent="0.25">
      <c r="A16" s="17" t="s">
        <v>402</v>
      </c>
      <c r="B16" s="17" t="s">
        <v>375</v>
      </c>
      <c r="C16" s="17" t="s">
        <v>403</v>
      </c>
      <c r="D16" s="17" t="s">
        <v>152</v>
      </c>
      <c r="E16" s="17" t="s">
        <v>159</v>
      </c>
      <c r="F16" s="17" t="s">
        <v>160</v>
      </c>
      <c r="G16" s="17"/>
      <c r="H16" s="17"/>
      <c r="I16" s="17"/>
      <c r="J16" s="27">
        <v>20</v>
      </c>
      <c r="K16" s="28">
        <f>IF(OR(B16&lt;&gt;"Sí",C16="",ASISTENTE!$B$6=""),0,IFERROR(IF(AND(OR(I16="",ISNUMBER(SEARCH(I16,ASISTENTE!$B$5))),ISNUMBER(SEARCH(C16,ASISTENTE!$B$5&amp;" "&amp;ASISTENTE!$B$6))),J16,0),0))</f>
        <v>0</v>
      </c>
      <c r="L16" s="17" t="s">
        <v>377</v>
      </c>
    </row>
    <row r="17" spans="1:12" x14ac:dyDescent="0.25">
      <c r="A17" s="17" t="s">
        <v>404</v>
      </c>
      <c r="B17" s="17" t="s">
        <v>375</v>
      </c>
      <c r="C17" s="17" t="s">
        <v>405</v>
      </c>
      <c r="D17" s="17" t="s">
        <v>176</v>
      </c>
      <c r="E17" s="17" t="s">
        <v>177</v>
      </c>
      <c r="F17" s="17" t="s">
        <v>178</v>
      </c>
      <c r="G17" s="17"/>
      <c r="H17" s="17"/>
      <c r="I17" s="17"/>
      <c r="J17" s="27">
        <v>25</v>
      </c>
      <c r="K17" s="28">
        <f>IF(OR(B17&lt;&gt;"Sí",C17="",ASISTENTE!$B$6=""),0,IFERROR(IF(AND(OR(I17="",ISNUMBER(SEARCH(I17,ASISTENTE!$B$5))),ISNUMBER(SEARCH(C17,ASISTENTE!$B$5&amp;" "&amp;ASISTENTE!$B$6))),J17,0),0))</f>
        <v>0</v>
      </c>
      <c r="L17" s="17" t="s">
        <v>380</v>
      </c>
    </row>
    <row r="18" spans="1:12" x14ac:dyDescent="0.25">
      <c r="A18" s="17" t="s">
        <v>406</v>
      </c>
      <c r="B18" s="17" t="s">
        <v>375</v>
      </c>
      <c r="C18" s="17" t="s">
        <v>407</v>
      </c>
      <c r="D18" s="17" t="s">
        <v>176</v>
      </c>
      <c r="E18" s="17" t="s">
        <v>177</v>
      </c>
      <c r="F18" s="17" t="s">
        <v>178</v>
      </c>
      <c r="G18" s="17"/>
      <c r="H18" s="17"/>
      <c r="I18" s="17"/>
      <c r="J18" s="27">
        <v>25</v>
      </c>
      <c r="K18" s="28">
        <f>IF(OR(B18&lt;&gt;"Sí",C18="",ASISTENTE!$B$6=""),0,IFERROR(IF(AND(OR(I18="",ISNUMBER(SEARCH(I18,ASISTENTE!$B$5))),ISNUMBER(SEARCH(C18,ASISTENTE!$B$5&amp;" "&amp;ASISTENTE!$B$6))),J18,0),0))</f>
        <v>0</v>
      </c>
      <c r="L18" s="17" t="s">
        <v>383</v>
      </c>
    </row>
    <row r="19" spans="1:12" x14ac:dyDescent="0.25">
      <c r="A19" s="17" t="s">
        <v>408</v>
      </c>
      <c r="B19" s="17" t="s">
        <v>375</v>
      </c>
      <c r="C19" s="17" t="s">
        <v>409</v>
      </c>
      <c r="D19" s="17" t="s">
        <v>176</v>
      </c>
      <c r="E19" s="17" t="s">
        <v>180</v>
      </c>
      <c r="F19" s="17" t="s">
        <v>181</v>
      </c>
      <c r="G19" s="17"/>
      <c r="H19" s="17"/>
      <c r="I19" s="17"/>
      <c r="J19" s="27">
        <v>20</v>
      </c>
      <c r="K19" s="28">
        <f>IF(OR(B19&lt;&gt;"Sí",C19="",ASISTENTE!$B$6=""),0,IFERROR(IF(AND(OR(I19="",ISNUMBER(SEARCH(I19,ASISTENTE!$B$5))),ISNUMBER(SEARCH(C19,ASISTENTE!$B$5&amp;" "&amp;ASISTENTE!$B$6))),J19,0),0))</f>
        <v>0</v>
      </c>
      <c r="L19" s="17" t="s">
        <v>380</v>
      </c>
    </row>
    <row r="20" spans="1:12" x14ac:dyDescent="0.25">
      <c r="A20" s="17" t="s">
        <v>410</v>
      </c>
      <c r="B20" s="17" t="s">
        <v>375</v>
      </c>
      <c r="C20" s="17" t="s">
        <v>411</v>
      </c>
      <c r="D20" s="17" t="s">
        <v>176</v>
      </c>
      <c r="E20" s="17" t="s">
        <v>180</v>
      </c>
      <c r="F20" s="17" t="s">
        <v>181</v>
      </c>
      <c r="G20" s="17"/>
      <c r="H20" s="17"/>
      <c r="I20" s="17"/>
      <c r="J20" s="27">
        <v>20</v>
      </c>
      <c r="K20" s="28">
        <f>IF(OR(B20&lt;&gt;"Sí",C20="",ASISTENTE!$B$6=""),0,IFERROR(IF(AND(OR(I20="",ISNUMBER(SEARCH(I20,ASISTENTE!$B$5))),ISNUMBER(SEARCH(C20,ASISTENTE!$B$5&amp;" "&amp;ASISTENTE!$B$6))),J20,0),0))</f>
        <v>0</v>
      </c>
      <c r="L20" s="17" t="s">
        <v>383</v>
      </c>
    </row>
    <row r="21" spans="1:12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27"/>
      <c r="K21" s="28">
        <f>IF(OR(B21&lt;&gt;"Sí",C21="",ASISTENTE!$B$6=""),0,IFERROR(IF(AND(OR(I21="",ISNUMBER(SEARCH(I21,ASISTENTE!$B$5))),ISNUMBER(SEARCH(C21,ASISTENTE!$B$5&amp;" "&amp;ASISTENTE!$B$6))),J21,0),0))</f>
        <v>0</v>
      </c>
      <c r="L21" s="17"/>
    </row>
    <row r="22" spans="1:12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27"/>
      <c r="K22" s="28">
        <f>IF(OR(B22&lt;&gt;"Sí",C22="",ASISTENTE!$B$6=""),0,IFERROR(IF(AND(OR(I22="",ISNUMBER(SEARCH(I22,ASISTENTE!$B$5))),ISNUMBER(SEARCH(C22,ASISTENTE!$B$5&amp;" "&amp;ASISTENTE!$B$6))),J22,0),0))</f>
        <v>0</v>
      </c>
      <c r="L22" s="17"/>
    </row>
    <row r="23" spans="1:12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27"/>
      <c r="K23" s="28">
        <f>IF(OR(B23&lt;&gt;"Sí",C23="",ASISTENTE!$B$6=""),0,IFERROR(IF(AND(OR(I23="",ISNUMBER(SEARCH(I23,ASISTENTE!$B$5))),ISNUMBER(SEARCH(C23,ASISTENTE!$B$5&amp;" "&amp;ASISTENTE!$B$6))),J23,0),0))</f>
        <v>0</v>
      </c>
      <c r="L23" s="17"/>
    </row>
    <row r="24" spans="1:12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27"/>
      <c r="K24" s="28">
        <f>IF(OR(B24&lt;&gt;"Sí",C24="",ASISTENTE!$B$6=""),0,IFERROR(IF(AND(OR(I24="",ISNUMBER(SEARCH(I24,ASISTENTE!$B$5))),ISNUMBER(SEARCH(C24,ASISTENTE!$B$5&amp;" "&amp;ASISTENTE!$B$6))),J24,0),0))</f>
        <v>0</v>
      </c>
      <c r="L24" s="17"/>
    </row>
    <row r="25" spans="1:12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27"/>
      <c r="K25" s="28">
        <f>IF(OR(B25&lt;&gt;"Sí",C25="",ASISTENTE!$B$6=""),0,IFERROR(IF(AND(OR(I25="",ISNUMBER(SEARCH(I25,ASISTENTE!$B$5))),ISNUMBER(SEARCH(C25,ASISTENTE!$B$5&amp;" "&amp;ASISTENTE!$B$6))),J25,0),0))</f>
        <v>0</v>
      </c>
      <c r="L25" s="17"/>
    </row>
    <row r="26" spans="1:12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27"/>
      <c r="K26" s="28">
        <f>IF(OR(B26&lt;&gt;"Sí",C26="",ASISTENTE!$B$6=""),0,IFERROR(IF(AND(OR(I26="",ISNUMBER(SEARCH(I26,ASISTENTE!$B$5))),ISNUMBER(SEARCH(C26,ASISTENTE!$B$5&amp;" "&amp;ASISTENTE!$B$6))),J26,0),0))</f>
        <v>0</v>
      </c>
      <c r="L26" s="17"/>
    </row>
    <row r="27" spans="1:12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27"/>
      <c r="K27" s="28">
        <f>IF(OR(B27&lt;&gt;"Sí",C27="",ASISTENTE!$B$6=""),0,IFERROR(IF(AND(OR(I27="",ISNUMBER(SEARCH(I27,ASISTENTE!$B$5))),ISNUMBER(SEARCH(C27,ASISTENTE!$B$5&amp;" "&amp;ASISTENTE!$B$6))),J27,0),0))</f>
        <v>0</v>
      </c>
      <c r="L27" s="17"/>
    </row>
    <row r="28" spans="1:12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27"/>
      <c r="K28" s="28">
        <f>IF(OR(B28&lt;&gt;"Sí",C28="",ASISTENTE!$B$6=""),0,IFERROR(IF(AND(OR(I28="",ISNUMBER(SEARCH(I28,ASISTENTE!$B$5))),ISNUMBER(SEARCH(C28,ASISTENTE!$B$5&amp;" "&amp;ASISTENTE!$B$6))),J28,0),0))</f>
        <v>0</v>
      </c>
      <c r="L28" s="17"/>
    </row>
    <row r="29" spans="1:12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27"/>
      <c r="K29" s="28">
        <f>IF(OR(B29&lt;&gt;"Sí",C29="",ASISTENTE!$B$6=""),0,IFERROR(IF(AND(OR(I29="",ISNUMBER(SEARCH(I29,ASISTENTE!$B$5))),ISNUMBER(SEARCH(C29,ASISTENTE!$B$5&amp;" "&amp;ASISTENTE!$B$6))),J29,0),0))</f>
        <v>0</v>
      </c>
      <c r="L29" s="17"/>
    </row>
    <row r="30" spans="1:12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27"/>
      <c r="K30" s="28">
        <f>IF(OR(B30&lt;&gt;"Sí",C30="",ASISTENTE!$B$6=""),0,IFERROR(IF(AND(OR(I30="",ISNUMBER(SEARCH(I30,ASISTENTE!$B$5))),ISNUMBER(SEARCH(C30,ASISTENTE!$B$5&amp;" "&amp;ASISTENTE!$B$6))),J30,0),0))</f>
        <v>0</v>
      </c>
      <c r="L30" s="17"/>
    </row>
    <row r="31" spans="1:12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27"/>
      <c r="K31" s="28">
        <f>IF(OR(B31&lt;&gt;"Sí",C31="",ASISTENTE!$B$6=""),0,IFERROR(IF(AND(OR(I31="",ISNUMBER(SEARCH(I31,ASISTENTE!$B$5))),ISNUMBER(SEARCH(C31,ASISTENTE!$B$5&amp;" "&amp;ASISTENTE!$B$6))),J31,0),0))</f>
        <v>0</v>
      </c>
      <c r="L31" s="17"/>
    </row>
    <row r="32" spans="1:12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27"/>
      <c r="K32" s="28">
        <f>IF(OR(B32&lt;&gt;"Sí",C32="",ASISTENTE!$B$6=""),0,IFERROR(IF(AND(OR(I32="",ISNUMBER(SEARCH(I32,ASISTENTE!$B$5))),ISNUMBER(SEARCH(C32,ASISTENTE!$B$5&amp;" "&amp;ASISTENTE!$B$6))),J32,0),0))</f>
        <v>0</v>
      </c>
      <c r="L32" s="17"/>
    </row>
    <row r="33" spans="1:12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27"/>
      <c r="K33" s="28">
        <f>IF(OR(B33&lt;&gt;"Sí",C33="",ASISTENTE!$B$6=""),0,IFERROR(IF(AND(OR(I33="",ISNUMBER(SEARCH(I33,ASISTENTE!$B$5))),ISNUMBER(SEARCH(C33,ASISTENTE!$B$5&amp;" "&amp;ASISTENTE!$B$6))),J33,0),0))</f>
        <v>0</v>
      </c>
      <c r="L33" s="17"/>
    </row>
    <row r="34" spans="1:12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27"/>
      <c r="K34" s="28">
        <f>IF(OR(B34&lt;&gt;"Sí",C34="",ASISTENTE!$B$6=""),0,IFERROR(IF(AND(OR(I34="",ISNUMBER(SEARCH(I34,ASISTENTE!$B$5))),ISNUMBER(SEARCH(C34,ASISTENTE!$B$5&amp;" "&amp;ASISTENTE!$B$6))),J34,0),0))</f>
        <v>0</v>
      </c>
      <c r="L34" s="17"/>
    </row>
    <row r="35" spans="1:1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27"/>
      <c r="K35" s="28">
        <f>IF(OR(B35&lt;&gt;"Sí",C35="",ASISTENTE!$B$6=""),0,IFERROR(IF(AND(OR(I35="",ISNUMBER(SEARCH(I35,ASISTENTE!$B$5))),ISNUMBER(SEARCH(C35,ASISTENTE!$B$5&amp;" "&amp;ASISTENTE!$B$6))),J35,0),0))</f>
        <v>0</v>
      </c>
      <c r="L35" s="17"/>
    </row>
    <row r="36" spans="1:12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27"/>
      <c r="K36" s="28">
        <f>IF(OR(B36&lt;&gt;"Sí",C36="",ASISTENTE!$B$6=""),0,IFERROR(IF(AND(OR(I36="",ISNUMBER(SEARCH(I36,ASISTENTE!$B$5))),ISNUMBER(SEARCH(C36,ASISTENTE!$B$5&amp;" "&amp;ASISTENTE!$B$6))),J36,0),0))</f>
        <v>0</v>
      </c>
      <c r="L36" s="17"/>
    </row>
    <row r="37" spans="1:12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27"/>
      <c r="K37" s="28">
        <f>IF(OR(B37&lt;&gt;"Sí",C37="",ASISTENTE!$B$6=""),0,IFERROR(IF(AND(OR(I37="",ISNUMBER(SEARCH(I37,ASISTENTE!$B$5))),ISNUMBER(SEARCH(C37,ASISTENTE!$B$5&amp;" "&amp;ASISTENTE!$B$6))),J37,0),0))</f>
        <v>0</v>
      </c>
      <c r="L37" s="17"/>
    </row>
    <row r="38" spans="1:12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27"/>
      <c r="K38" s="28">
        <f>IF(OR(B38&lt;&gt;"Sí",C38="",ASISTENTE!$B$6=""),0,IFERROR(IF(AND(OR(I38="",ISNUMBER(SEARCH(I38,ASISTENTE!$B$5))),ISNUMBER(SEARCH(C38,ASISTENTE!$B$5&amp;" "&amp;ASISTENTE!$B$6))),J38,0),0))</f>
        <v>0</v>
      </c>
      <c r="L38" s="17"/>
    </row>
    <row r="39" spans="1:12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27"/>
      <c r="K39" s="28">
        <f>IF(OR(B39&lt;&gt;"Sí",C39="",ASISTENTE!$B$6=""),0,IFERROR(IF(AND(OR(I39="",ISNUMBER(SEARCH(I39,ASISTENTE!$B$5))),ISNUMBER(SEARCH(C39,ASISTENTE!$B$5&amp;" "&amp;ASISTENTE!$B$6))),J39,0),0))</f>
        <v>0</v>
      </c>
      <c r="L39" s="17"/>
    </row>
    <row r="40" spans="1:12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27"/>
      <c r="K40" s="28">
        <f>IF(OR(B40&lt;&gt;"Sí",C40="",ASISTENTE!$B$6=""),0,IFERROR(IF(AND(OR(I40="",ISNUMBER(SEARCH(I40,ASISTENTE!$B$5))),ISNUMBER(SEARCH(C40,ASISTENTE!$B$5&amp;" "&amp;ASISTENTE!$B$6))),J40,0),0))</f>
        <v>0</v>
      </c>
      <c r="L40" s="17"/>
    </row>
    <row r="41" spans="1:12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27"/>
      <c r="K41" s="28">
        <f>IF(OR(B41&lt;&gt;"Sí",C41="",ASISTENTE!$B$6=""),0,IFERROR(IF(AND(OR(I41="",ISNUMBER(SEARCH(I41,ASISTENTE!$B$5))),ISNUMBER(SEARCH(C41,ASISTENTE!$B$5&amp;" "&amp;ASISTENTE!$B$6))),J41,0),0))</f>
        <v>0</v>
      </c>
      <c r="L41" s="17"/>
    </row>
    <row r="42" spans="1:12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27"/>
      <c r="K42" s="28">
        <f>IF(OR(B42&lt;&gt;"Sí",C42="",ASISTENTE!$B$6=""),0,IFERROR(IF(AND(OR(I42="",ISNUMBER(SEARCH(I42,ASISTENTE!$B$5))),ISNUMBER(SEARCH(C42,ASISTENTE!$B$5&amp;" "&amp;ASISTENTE!$B$6))),J42,0),0))</f>
        <v>0</v>
      </c>
      <c r="L42" s="17"/>
    </row>
    <row r="43" spans="1:12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27"/>
      <c r="K43" s="28">
        <f>IF(OR(B43&lt;&gt;"Sí",C43="",ASISTENTE!$B$6=""),0,IFERROR(IF(AND(OR(I43="",ISNUMBER(SEARCH(I43,ASISTENTE!$B$5))),ISNUMBER(SEARCH(C43,ASISTENTE!$B$5&amp;" "&amp;ASISTENTE!$B$6))),J43,0),0))</f>
        <v>0</v>
      </c>
      <c r="L43" s="17"/>
    </row>
    <row r="44" spans="1:12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27"/>
      <c r="K44" s="28">
        <f>IF(OR(B44&lt;&gt;"Sí",C44="",ASISTENTE!$B$6=""),0,IFERROR(IF(AND(OR(I44="",ISNUMBER(SEARCH(I44,ASISTENTE!$B$5))),ISNUMBER(SEARCH(C44,ASISTENTE!$B$5&amp;" "&amp;ASISTENTE!$B$6))),J44,0),0))</f>
        <v>0</v>
      </c>
      <c r="L44" s="17"/>
    </row>
    <row r="45" spans="1:12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27"/>
      <c r="K45" s="28">
        <f>IF(OR(B45&lt;&gt;"Sí",C45="",ASISTENTE!$B$6=""),0,IFERROR(IF(AND(OR(I45="",ISNUMBER(SEARCH(I45,ASISTENTE!$B$5))),ISNUMBER(SEARCH(C45,ASISTENTE!$B$5&amp;" "&amp;ASISTENTE!$B$6))),J45,0),0))</f>
        <v>0</v>
      </c>
      <c r="L45" s="17"/>
    </row>
    <row r="46" spans="1:1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27"/>
      <c r="K46" s="28">
        <f>IF(OR(B46&lt;&gt;"Sí",C46="",ASISTENTE!$B$6=""),0,IFERROR(IF(AND(OR(I46="",ISNUMBER(SEARCH(I46,ASISTENTE!$B$5))),ISNUMBER(SEARCH(C46,ASISTENTE!$B$5&amp;" "&amp;ASISTENTE!$B$6))),J46,0),0))</f>
        <v>0</v>
      </c>
      <c r="L46" s="17"/>
    </row>
    <row r="47" spans="1:12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27"/>
      <c r="K47" s="28">
        <f>IF(OR(B47&lt;&gt;"Sí",C47="",ASISTENTE!$B$6=""),0,IFERROR(IF(AND(OR(I47="",ISNUMBER(SEARCH(I47,ASISTENTE!$B$5))),ISNUMBER(SEARCH(C47,ASISTENTE!$B$5&amp;" "&amp;ASISTENTE!$B$6))),J47,0),0))</f>
        <v>0</v>
      </c>
      <c r="L47" s="17"/>
    </row>
    <row r="48" spans="1:12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27"/>
      <c r="K48" s="28">
        <f>IF(OR(B48&lt;&gt;"Sí",C48="",ASISTENTE!$B$6=""),0,IFERROR(IF(AND(OR(I48="",ISNUMBER(SEARCH(I48,ASISTENTE!$B$5))),ISNUMBER(SEARCH(C48,ASISTENTE!$B$5&amp;" "&amp;ASISTENTE!$B$6))),J48,0),0))</f>
        <v>0</v>
      </c>
      <c r="L48" s="17"/>
    </row>
    <row r="49" spans="1:12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27"/>
      <c r="K49" s="28">
        <f>IF(OR(B49&lt;&gt;"Sí",C49="",ASISTENTE!$B$6=""),0,IFERROR(IF(AND(OR(I49="",ISNUMBER(SEARCH(I49,ASISTENTE!$B$5))),ISNUMBER(SEARCH(C49,ASISTENTE!$B$5&amp;" "&amp;ASISTENTE!$B$6))),J49,0),0))</f>
        <v>0</v>
      </c>
      <c r="L49" s="17"/>
    </row>
    <row r="50" spans="1:12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27"/>
      <c r="K50" s="28">
        <f>IF(OR(B50&lt;&gt;"Sí",C50="",ASISTENTE!$B$6=""),0,IFERROR(IF(AND(OR(I50="",ISNUMBER(SEARCH(I50,ASISTENTE!$B$5))),ISNUMBER(SEARCH(C50,ASISTENTE!$B$5&amp;" "&amp;ASISTENTE!$B$6))),J50,0),0))</f>
        <v>0</v>
      </c>
      <c r="L50" s="17"/>
    </row>
    <row r="51" spans="1:12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27"/>
      <c r="K51" s="28">
        <f>IF(OR(B51&lt;&gt;"Sí",C51="",ASISTENTE!$B$6=""),0,IFERROR(IF(AND(OR(I51="",ISNUMBER(SEARCH(I51,ASISTENTE!$B$5))),ISNUMBER(SEARCH(C51,ASISTENTE!$B$5&amp;" "&amp;ASISTENTE!$B$6))),J51,0),0))</f>
        <v>0</v>
      </c>
      <c r="L51" s="17"/>
    </row>
    <row r="52" spans="1:12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27"/>
      <c r="K52" s="28">
        <f>IF(OR(B52&lt;&gt;"Sí",C52="",ASISTENTE!$B$6=""),0,IFERROR(IF(AND(OR(I52="",ISNUMBER(SEARCH(I52,ASISTENTE!$B$5))),ISNUMBER(SEARCH(C52,ASISTENTE!$B$5&amp;" "&amp;ASISTENTE!$B$6))),J52,0),0))</f>
        <v>0</v>
      </c>
      <c r="L52" s="17"/>
    </row>
    <row r="53" spans="1:12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27"/>
      <c r="K53" s="28">
        <f>IF(OR(B53&lt;&gt;"Sí",C53="",ASISTENTE!$B$6=""),0,IFERROR(IF(AND(OR(I53="",ISNUMBER(SEARCH(I53,ASISTENTE!$B$5))),ISNUMBER(SEARCH(C53,ASISTENTE!$B$5&amp;" "&amp;ASISTENTE!$B$6))),J53,0),0))</f>
        <v>0</v>
      </c>
      <c r="L53" s="17"/>
    </row>
    <row r="54" spans="1:12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27"/>
      <c r="K54" s="28">
        <f>IF(OR(B54&lt;&gt;"Sí",C54="",ASISTENTE!$B$6=""),0,IFERROR(IF(AND(OR(I54="",ISNUMBER(SEARCH(I54,ASISTENTE!$B$5))),ISNUMBER(SEARCH(C54,ASISTENTE!$B$5&amp;" "&amp;ASISTENTE!$B$6))),J54,0),0))</f>
        <v>0</v>
      </c>
      <c r="L54" s="17"/>
    </row>
    <row r="55" spans="1:12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27"/>
      <c r="K55" s="28">
        <f>IF(OR(B55&lt;&gt;"Sí",C55="",ASISTENTE!$B$6=""),0,IFERROR(IF(AND(OR(I55="",ISNUMBER(SEARCH(I55,ASISTENTE!$B$5))),ISNUMBER(SEARCH(C55,ASISTENTE!$B$5&amp;" "&amp;ASISTENTE!$B$6))),J55,0),0))</f>
        <v>0</v>
      </c>
      <c r="L55" s="17"/>
    </row>
    <row r="56" spans="1:12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27"/>
      <c r="K56" s="28">
        <f>IF(OR(B56&lt;&gt;"Sí",C56="",ASISTENTE!$B$6=""),0,IFERROR(IF(AND(OR(I56="",ISNUMBER(SEARCH(I56,ASISTENTE!$B$5))),ISNUMBER(SEARCH(C56,ASISTENTE!$B$5&amp;" "&amp;ASISTENTE!$B$6))),J56,0),0))</f>
        <v>0</v>
      </c>
      <c r="L56" s="17"/>
    </row>
    <row r="57" spans="1:12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27"/>
      <c r="K57" s="28">
        <f>IF(OR(B57&lt;&gt;"Sí",C57="",ASISTENTE!$B$6=""),0,IFERROR(IF(AND(OR(I57="",ISNUMBER(SEARCH(I57,ASISTENTE!$B$5))),ISNUMBER(SEARCH(C57,ASISTENTE!$B$5&amp;" "&amp;ASISTENTE!$B$6))),J57,0),0))</f>
        <v>0</v>
      </c>
      <c r="L57" s="17"/>
    </row>
    <row r="58" spans="1:12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27"/>
      <c r="K58" s="28">
        <f>IF(OR(B58&lt;&gt;"Sí",C58="",ASISTENTE!$B$6=""),0,IFERROR(IF(AND(OR(I58="",ISNUMBER(SEARCH(I58,ASISTENTE!$B$5))),ISNUMBER(SEARCH(C58,ASISTENTE!$B$5&amp;" "&amp;ASISTENTE!$B$6))),J58,0),0))</f>
        <v>0</v>
      </c>
      <c r="L58" s="17"/>
    </row>
    <row r="59" spans="1:12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27"/>
      <c r="K59" s="28">
        <f>IF(OR(B59&lt;&gt;"Sí",C59="",ASISTENTE!$B$6=""),0,IFERROR(IF(AND(OR(I59="",ISNUMBER(SEARCH(I59,ASISTENTE!$B$5))),ISNUMBER(SEARCH(C59,ASISTENTE!$B$5&amp;" "&amp;ASISTENTE!$B$6))),J59,0),0))</f>
        <v>0</v>
      </c>
      <c r="L59" s="17"/>
    </row>
    <row r="60" spans="1:12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27"/>
      <c r="K60" s="28">
        <f>IF(OR(B60&lt;&gt;"Sí",C60="",ASISTENTE!$B$6=""),0,IFERROR(IF(AND(OR(I60="",ISNUMBER(SEARCH(I60,ASISTENTE!$B$5))),ISNUMBER(SEARCH(C60,ASISTENTE!$B$5&amp;" "&amp;ASISTENTE!$B$6))),J60,0),0))</f>
        <v>0</v>
      </c>
      <c r="L60" s="17"/>
    </row>
    <row r="61" spans="1:12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27"/>
      <c r="K61" s="28">
        <f>IF(OR(B61&lt;&gt;"Sí",C61="",ASISTENTE!$B$6=""),0,IFERROR(IF(AND(OR(I61="",ISNUMBER(SEARCH(I61,ASISTENTE!$B$5))),ISNUMBER(SEARCH(C61,ASISTENTE!$B$5&amp;" "&amp;ASISTENTE!$B$6))),J61,0),0))</f>
        <v>0</v>
      </c>
      <c r="L61" s="17"/>
    </row>
    <row r="62" spans="1:12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27"/>
      <c r="K62" s="28">
        <f>IF(OR(B62&lt;&gt;"Sí",C62="",ASISTENTE!$B$6=""),0,IFERROR(IF(AND(OR(I62="",ISNUMBER(SEARCH(I62,ASISTENTE!$B$5))),ISNUMBER(SEARCH(C62,ASISTENTE!$B$5&amp;" "&amp;ASISTENTE!$B$6))),J62,0),0))</f>
        <v>0</v>
      </c>
      <c r="L62" s="17"/>
    </row>
    <row r="63" spans="1:12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27"/>
      <c r="K63" s="28">
        <f>IF(OR(B63&lt;&gt;"Sí",C63="",ASISTENTE!$B$6=""),0,IFERROR(IF(AND(OR(I63="",ISNUMBER(SEARCH(I63,ASISTENTE!$B$5))),ISNUMBER(SEARCH(C63,ASISTENTE!$B$5&amp;" "&amp;ASISTENTE!$B$6))),J63,0),0))</f>
        <v>0</v>
      </c>
      <c r="L63" s="17"/>
    </row>
    <row r="64" spans="1:12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27"/>
      <c r="K64" s="28">
        <f>IF(OR(B64&lt;&gt;"Sí",C64="",ASISTENTE!$B$6=""),0,IFERROR(IF(AND(OR(I64="",ISNUMBER(SEARCH(I64,ASISTENTE!$B$5))),ISNUMBER(SEARCH(C64,ASISTENTE!$B$5&amp;" "&amp;ASISTENTE!$B$6))),J64,0),0))</f>
        <v>0</v>
      </c>
      <c r="L64" s="17"/>
    </row>
    <row r="65" spans="1:12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27"/>
      <c r="K65" s="28">
        <f>IF(OR(B65&lt;&gt;"Sí",C65="",ASISTENTE!$B$6=""),0,IFERROR(IF(AND(OR(I65="",ISNUMBER(SEARCH(I65,ASISTENTE!$B$5))),ISNUMBER(SEARCH(C65,ASISTENTE!$B$5&amp;" "&amp;ASISTENTE!$B$6))),J65,0),0))</f>
        <v>0</v>
      </c>
      <c r="L65" s="17"/>
    </row>
    <row r="66" spans="1:12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27"/>
      <c r="K66" s="28">
        <f>IF(OR(B66&lt;&gt;"Sí",C66="",ASISTENTE!$B$6=""),0,IFERROR(IF(AND(OR(I66="",ISNUMBER(SEARCH(I66,ASISTENTE!$B$5))),ISNUMBER(SEARCH(C66,ASISTENTE!$B$5&amp;" "&amp;ASISTENTE!$B$6))),J66,0),0))</f>
        <v>0</v>
      </c>
      <c r="L66" s="17"/>
    </row>
    <row r="67" spans="1:12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27"/>
      <c r="K67" s="28">
        <f>IF(OR(B67&lt;&gt;"Sí",C67="",ASISTENTE!$B$6=""),0,IFERROR(IF(AND(OR(I67="",ISNUMBER(SEARCH(I67,ASISTENTE!$B$5))),ISNUMBER(SEARCH(C67,ASISTENTE!$B$5&amp;" "&amp;ASISTENTE!$B$6))),J67,0),0))</f>
        <v>0</v>
      </c>
      <c r="L67" s="17"/>
    </row>
    <row r="68" spans="1:12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27"/>
      <c r="K68" s="28">
        <f>IF(OR(B68&lt;&gt;"Sí",C68="",ASISTENTE!$B$6=""),0,IFERROR(IF(AND(OR(I68="",ISNUMBER(SEARCH(I68,ASISTENTE!$B$5))),ISNUMBER(SEARCH(C68,ASISTENTE!$B$5&amp;" "&amp;ASISTENTE!$B$6))),J68,0),0))</f>
        <v>0</v>
      </c>
      <c r="L68" s="17"/>
    </row>
    <row r="69" spans="1:12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27"/>
      <c r="K69" s="28">
        <f>IF(OR(B69&lt;&gt;"Sí",C69="",ASISTENTE!$B$6=""),0,IFERROR(IF(AND(OR(I69="",ISNUMBER(SEARCH(I69,ASISTENTE!$B$5))),ISNUMBER(SEARCH(C69,ASISTENTE!$B$5&amp;" "&amp;ASISTENTE!$B$6))),J69,0),0))</f>
        <v>0</v>
      </c>
      <c r="L69" s="17"/>
    </row>
    <row r="70" spans="1:12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27"/>
      <c r="K70" s="28">
        <f>IF(OR(B70&lt;&gt;"Sí",C70="",ASISTENTE!$B$6=""),0,IFERROR(IF(AND(OR(I70="",ISNUMBER(SEARCH(I70,ASISTENTE!$B$5))),ISNUMBER(SEARCH(C70,ASISTENTE!$B$5&amp;" "&amp;ASISTENTE!$B$6))),J70,0),0))</f>
        <v>0</v>
      </c>
      <c r="L70" s="17"/>
    </row>
    <row r="71" spans="1:12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27"/>
      <c r="K71" s="28">
        <f>IF(OR(B71&lt;&gt;"Sí",C71="",ASISTENTE!$B$6=""),0,IFERROR(IF(AND(OR(I71="",ISNUMBER(SEARCH(I71,ASISTENTE!$B$5))),ISNUMBER(SEARCH(C71,ASISTENTE!$B$5&amp;" "&amp;ASISTENTE!$B$6))),J71,0),0))</f>
        <v>0</v>
      </c>
      <c r="L71" s="17"/>
    </row>
    <row r="72" spans="1:12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27"/>
      <c r="K72" s="28">
        <f>IF(OR(B72&lt;&gt;"Sí",C72="",ASISTENTE!$B$6=""),0,IFERROR(IF(AND(OR(I72="",ISNUMBER(SEARCH(I72,ASISTENTE!$B$5))),ISNUMBER(SEARCH(C72,ASISTENTE!$B$5&amp;" "&amp;ASISTENTE!$B$6))),J72,0),0))</f>
        <v>0</v>
      </c>
      <c r="L72" s="17"/>
    </row>
    <row r="73" spans="1:12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27"/>
      <c r="K73" s="28">
        <f>IF(OR(B73&lt;&gt;"Sí",C73="",ASISTENTE!$B$6=""),0,IFERROR(IF(AND(OR(I73="",ISNUMBER(SEARCH(I73,ASISTENTE!$B$5))),ISNUMBER(SEARCH(C73,ASISTENTE!$B$5&amp;" "&amp;ASISTENTE!$B$6))),J73,0),0))</f>
        <v>0</v>
      </c>
      <c r="L73" s="17"/>
    </row>
    <row r="74" spans="1:12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27"/>
      <c r="K74" s="28">
        <f>IF(OR(B74&lt;&gt;"Sí",C74="",ASISTENTE!$B$6=""),0,IFERROR(IF(AND(OR(I74="",ISNUMBER(SEARCH(I74,ASISTENTE!$B$5))),ISNUMBER(SEARCH(C74,ASISTENTE!$B$5&amp;" "&amp;ASISTENTE!$B$6))),J74,0),0))</f>
        <v>0</v>
      </c>
      <c r="L74" s="17"/>
    </row>
    <row r="75" spans="1:12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27"/>
      <c r="K75" s="28">
        <f>IF(OR(B75&lt;&gt;"Sí",C75="",ASISTENTE!$B$6=""),0,IFERROR(IF(AND(OR(I75="",ISNUMBER(SEARCH(I75,ASISTENTE!$B$5))),ISNUMBER(SEARCH(C75,ASISTENTE!$B$5&amp;" "&amp;ASISTENTE!$B$6))),J75,0),0))</f>
        <v>0</v>
      </c>
      <c r="L75" s="17"/>
    </row>
    <row r="76" spans="1:12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27"/>
      <c r="K76" s="28">
        <f>IF(OR(B76&lt;&gt;"Sí",C76="",ASISTENTE!$B$6=""),0,IFERROR(IF(AND(OR(I76="",ISNUMBER(SEARCH(I76,ASISTENTE!$B$5))),ISNUMBER(SEARCH(C76,ASISTENTE!$B$5&amp;" "&amp;ASISTENTE!$B$6))),J76,0),0))</f>
        <v>0</v>
      </c>
      <c r="L76" s="17"/>
    </row>
    <row r="77" spans="1:12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27"/>
      <c r="K77" s="28">
        <f>IF(OR(B77&lt;&gt;"Sí",C77="",ASISTENTE!$B$6=""),0,IFERROR(IF(AND(OR(I77="",ISNUMBER(SEARCH(I77,ASISTENTE!$B$5))),ISNUMBER(SEARCH(C77,ASISTENTE!$B$5&amp;" "&amp;ASISTENTE!$B$6))),J77,0),0))</f>
        <v>0</v>
      </c>
      <c r="L77" s="17"/>
    </row>
    <row r="78" spans="1:12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27"/>
      <c r="K78" s="28">
        <f>IF(OR(B78&lt;&gt;"Sí",C78="",ASISTENTE!$B$6=""),0,IFERROR(IF(AND(OR(I78="",ISNUMBER(SEARCH(I78,ASISTENTE!$B$5))),ISNUMBER(SEARCH(C78,ASISTENTE!$B$5&amp;" "&amp;ASISTENTE!$B$6))),J78,0),0))</f>
        <v>0</v>
      </c>
      <c r="L78" s="17"/>
    </row>
    <row r="79" spans="1:12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27"/>
      <c r="K79" s="28">
        <f>IF(OR(B79&lt;&gt;"Sí",C79="",ASISTENTE!$B$6=""),0,IFERROR(IF(AND(OR(I79="",ISNUMBER(SEARCH(I79,ASISTENTE!$B$5))),ISNUMBER(SEARCH(C79,ASISTENTE!$B$5&amp;" "&amp;ASISTENTE!$B$6))),J79,0),0))</f>
        <v>0</v>
      </c>
      <c r="L79" s="17"/>
    </row>
    <row r="80" spans="1:12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27"/>
      <c r="K80" s="28">
        <f>IF(OR(B80&lt;&gt;"Sí",C80="",ASISTENTE!$B$6=""),0,IFERROR(IF(AND(OR(I80="",ISNUMBER(SEARCH(I80,ASISTENTE!$B$5))),ISNUMBER(SEARCH(C80,ASISTENTE!$B$5&amp;" "&amp;ASISTENTE!$B$6))),J80,0),0))</f>
        <v>0</v>
      </c>
      <c r="L80" s="17"/>
    </row>
    <row r="81" spans="1:12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27"/>
      <c r="K81" s="28">
        <f>IF(OR(B81&lt;&gt;"Sí",C81="",ASISTENTE!$B$6=""),0,IFERROR(IF(AND(OR(I81="",ISNUMBER(SEARCH(I81,ASISTENTE!$B$5))),ISNUMBER(SEARCH(C81,ASISTENTE!$B$5&amp;" "&amp;ASISTENTE!$B$6))),J81,0),0))</f>
        <v>0</v>
      </c>
      <c r="L81" s="17"/>
    </row>
    <row r="82" spans="1:12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27"/>
      <c r="K82" s="28">
        <f>IF(OR(B82&lt;&gt;"Sí",C82="",ASISTENTE!$B$6=""),0,IFERROR(IF(AND(OR(I82="",ISNUMBER(SEARCH(I82,ASISTENTE!$B$5))),ISNUMBER(SEARCH(C82,ASISTENTE!$B$5&amp;" "&amp;ASISTENTE!$B$6))),J82,0),0))</f>
        <v>0</v>
      </c>
      <c r="L82" s="17"/>
    </row>
    <row r="83" spans="1:12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27"/>
      <c r="K83" s="28">
        <f>IF(OR(B83&lt;&gt;"Sí",C83="",ASISTENTE!$B$6=""),0,IFERROR(IF(AND(OR(I83="",ISNUMBER(SEARCH(I83,ASISTENTE!$B$5))),ISNUMBER(SEARCH(C83,ASISTENTE!$B$5&amp;" "&amp;ASISTENTE!$B$6))),J83,0),0))</f>
        <v>0</v>
      </c>
      <c r="L83" s="17"/>
    </row>
    <row r="84" spans="1:12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27"/>
      <c r="K84" s="28">
        <f>IF(OR(B84&lt;&gt;"Sí",C84="",ASISTENTE!$B$6=""),0,IFERROR(IF(AND(OR(I84="",ISNUMBER(SEARCH(I84,ASISTENTE!$B$5))),ISNUMBER(SEARCH(C84,ASISTENTE!$B$5&amp;" "&amp;ASISTENTE!$B$6))),J84,0),0))</f>
        <v>0</v>
      </c>
      <c r="L84" s="17"/>
    </row>
    <row r="85" spans="1:12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27"/>
      <c r="K85" s="28">
        <f>IF(OR(B85&lt;&gt;"Sí",C85="",ASISTENTE!$B$6=""),0,IFERROR(IF(AND(OR(I85="",ISNUMBER(SEARCH(I85,ASISTENTE!$B$5))),ISNUMBER(SEARCH(C85,ASISTENTE!$B$5&amp;" "&amp;ASISTENTE!$B$6))),J85,0),0))</f>
        <v>0</v>
      </c>
      <c r="L85" s="17"/>
    </row>
    <row r="86" spans="1:12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27"/>
      <c r="K86" s="28">
        <f>IF(OR(B86&lt;&gt;"Sí",C86="",ASISTENTE!$B$6=""),0,IFERROR(IF(AND(OR(I86="",ISNUMBER(SEARCH(I86,ASISTENTE!$B$5))),ISNUMBER(SEARCH(C86,ASISTENTE!$B$5&amp;" "&amp;ASISTENTE!$B$6))),J86,0),0))</f>
        <v>0</v>
      </c>
      <c r="L86" s="17"/>
    </row>
    <row r="87" spans="1:12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27"/>
      <c r="K87" s="28">
        <f>IF(OR(B87&lt;&gt;"Sí",C87="",ASISTENTE!$B$6=""),0,IFERROR(IF(AND(OR(I87="",ISNUMBER(SEARCH(I87,ASISTENTE!$B$5))),ISNUMBER(SEARCH(C87,ASISTENTE!$B$5&amp;" "&amp;ASISTENTE!$B$6))),J87,0),0))</f>
        <v>0</v>
      </c>
      <c r="L87" s="17"/>
    </row>
    <row r="88" spans="1:12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27"/>
      <c r="K88" s="28">
        <f>IF(OR(B88&lt;&gt;"Sí",C88="",ASISTENTE!$B$6=""),0,IFERROR(IF(AND(OR(I88="",ISNUMBER(SEARCH(I88,ASISTENTE!$B$5))),ISNUMBER(SEARCH(C88,ASISTENTE!$B$5&amp;" "&amp;ASISTENTE!$B$6))),J88,0),0))</f>
        <v>0</v>
      </c>
      <c r="L88" s="17"/>
    </row>
    <row r="89" spans="1:12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27"/>
      <c r="K89" s="28">
        <f>IF(OR(B89&lt;&gt;"Sí",C89="",ASISTENTE!$B$6=""),0,IFERROR(IF(AND(OR(I89="",ISNUMBER(SEARCH(I89,ASISTENTE!$B$5))),ISNUMBER(SEARCH(C89,ASISTENTE!$B$5&amp;" "&amp;ASISTENTE!$B$6))),J89,0),0))</f>
        <v>0</v>
      </c>
      <c r="L89" s="17"/>
    </row>
    <row r="90" spans="1:12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27"/>
      <c r="K90" s="28">
        <f>IF(OR(B90&lt;&gt;"Sí",C90="",ASISTENTE!$B$6=""),0,IFERROR(IF(AND(OR(I90="",ISNUMBER(SEARCH(I90,ASISTENTE!$B$5))),ISNUMBER(SEARCH(C90,ASISTENTE!$B$5&amp;" "&amp;ASISTENTE!$B$6))),J90,0),0))</f>
        <v>0</v>
      </c>
      <c r="L90" s="17"/>
    </row>
    <row r="91" spans="1:12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27"/>
      <c r="K91" s="28">
        <f>IF(OR(B91&lt;&gt;"Sí",C91="",ASISTENTE!$B$6=""),0,IFERROR(IF(AND(OR(I91="",ISNUMBER(SEARCH(I91,ASISTENTE!$B$5))),ISNUMBER(SEARCH(C91,ASISTENTE!$B$5&amp;" "&amp;ASISTENTE!$B$6))),J91,0),0))</f>
        <v>0</v>
      </c>
      <c r="L91" s="17"/>
    </row>
    <row r="92" spans="1:12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27"/>
      <c r="K92" s="28">
        <f>IF(OR(B92&lt;&gt;"Sí",C92="",ASISTENTE!$B$6=""),0,IFERROR(IF(AND(OR(I92="",ISNUMBER(SEARCH(I92,ASISTENTE!$B$5))),ISNUMBER(SEARCH(C92,ASISTENTE!$B$5&amp;" "&amp;ASISTENTE!$B$6))),J92,0),0))</f>
        <v>0</v>
      </c>
      <c r="L92" s="17"/>
    </row>
    <row r="93" spans="1:12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27"/>
      <c r="K93" s="28">
        <f>IF(OR(B93&lt;&gt;"Sí",C93="",ASISTENTE!$B$6=""),0,IFERROR(IF(AND(OR(I93="",ISNUMBER(SEARCH(I93,ASISTENTE!$B$5))),ISNUMBER(SEARCH(C93,ASISTENTE!$B$5&amp;" "&amp;ASISTENTE!$B$6))),J93,0),0))</f>
        <v>0</v>
      </c>
      <c r="L93" s="17"/>
    </row>
    <row r="94" spans="1:12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27"/>
      <c r="K94" s="28">
        <f>IF(OR(B94&lt;&gt;"Sí",C94="",ASISTENTE!$B$6=""),0,IFERROR(IF(AND(OR(I94="",ISNUMBER(SEARCH(I94,ASISTENTE!$B$5))),ISNUMBER(SEARCH(C94,ASISTENTE!$B$5&amp;" "&amp;ASISTENTE!$B$6))),J94,0),0))</f>
        <v>0</v>
      </c>
      <c r="L94" s="17"/>
    </row>
    <row r="95" spans="1:12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27"/>
      <c r="K95" s="28">
        <f>IF(OR(B95&lt;&gt;"Sí",C95="",ASISTENTE!$B$6=""),0,IFERROR(IF(AND(OR(I95="",ISNUMBER(SEARCH(I95,ASISTENTE!$B$5))),ISNUMBER(SEARCH(C95,ASISTENTE!$B$5&amp;" "&amp;ASISTENTE!$B$6))),J95,0),0))</f>
        <v>0</v>
      </c>
      <c r="L95" s="17"/>
    </row>
    <row r="96" spans="1:12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27"/>
      <c r="K96" s="28">
        <f>IF(OR(B96&lt;&gt;"Sí",C96="",ASISTENTE!$B$6=""),0,IFERROR(IF(AND(OR(I96="",ISNUMBER(SEARCH(I96,ASISTENTE!$B$5))),ISNUMBER(SEARCH(C96,ASISTENTE!$B$5&amp;" "&amp;ASISTENTE!$B$6))),J96,0),0))</f>
        <v>0</v>
      </c>
      <c r="L96" s="17"/>
    </row>
    <row r="97" spans="1:12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27"/>
      <c r="K97" s="28">
        <f>IF(OR(B97&lt;&gt;"Sí",C97="",ASISTENTE!$B$6=""),0,IFERROR(IF(AND(OR(I97="",ISNUMBER(SEARCH(I97,ASISTENTE!$B$5))),ISNUMBER(SEARCH(C97,ASISTENTE!$B$5&amp;" "&amp;ASISTENTE!$B$6))),J97,0),0))</f>
        <v>0</v>
      </c>
      <c r="L97" s="17"/>
    </row>
    <row r="98" spans="1:12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27"/>
      <c r="K98" s="28">
        <f>IF(OR(B98&lt;&gt;"Sí",C98="",ASISTENTE!$B$6=""),0,IFERROR(IF(AND(OR(I98="",ISNUMBER(SEARCH(I98,ASISTENTE!$B$5))),ISNUMBER(SEARCH(C98,ASISTENTE!$B$5&amp;" "&amp;ASISTENTE!$B$6))),J98,0),0))</f>
        <v>0</v>
      </c>
      <c r="L98" s="17"/>
    </row>
    <row r="99" spans="1:12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27"/>
      <c r="K99" s="28">
        <f>IF(OR(B99&lt;&gt;"Sí",C99="",ASISTENTE!$B$6=""),0,IFERROR(IF(AND(OR(I99="",ISNUMBER(SEARCH(I99,ASISTENTE!$B$5))),ISNUMBER(SEARCH(C99,ASISTENTE!$B$5&amp;" "&amp;ASISTENTE!$B$6))),J99,0),0))</f>
        <v>0</v>
      </c>
      <c r="L99" s="17"/>
    </row>
    <row r="100" spans="1:12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27"/>
      <c r="K100" s="28">
        <f>IF(OR(B100&lt;&gt;"Sí",C100="",ASISTENTE!$B$6=""),0,IFERROR(IF(AND(OR(I100="",ISNUMBER(SEARCH(I100,ASISTENTE!$B$5))),ISNUMBER(SEARCH(C100,ASISTENTE!$B$5&amp;" "&amp;ASISTENTE!$B$6))),J100,0),0))</f>
        <v>0</v>
      </c>
      <c r="L100" s="17"/>
    </row>
    <row r="101" spans="1:12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27"/>
      <c r="K101" s="28">
        <f>IF(OR(B101&lt;&gt;"Sí",C101="",ASISTENTE!$B$6=""),0,IFERROR(IF(AND(OR(I101="",ISNUMBER(SEARCH(I101,ASISTENTE!$B$5))),ISNUMBER(SEARCH(C101,ASISTENTE!$B$5&amp;" "&amp;ASISTENTE!$B$6))),J101,0),0))</f>
        <v>0</v>
      </c>
      <c r="L101" s="17"/>
    </row>
    <row r="102" spans="1:12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27"/>
      <c r="K102" s="28">
        <f>IF(OR(B102&lt;&gt;"Sí",C102="",ASISTENTE!$B$6=""),0,IFERROR(IF(AND(OR(I102="",ISNUMBER(SEARCH(I102,ASISTENTE!$B$5))),ISNUMBER(SEARCH(C102,ASISTENTE!$B$5&amp;" "&amp;ASISTENTE!$B$6))),J102,0),0))</f>
        <v>0</v>
      </c>
      <c r="L102" s="17"/>
    </row>
    <row r="103" spans="1:12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27"/>
      <c r="K103" s="28">
        <f>IF(OR(B103&lt;&gt;"Sí",C103="",ASISTENTE!$B$6=""),0,IFERROR(IF(AND(OR(I103="",ISNUMBER(SEARCH(I103,ASISTENTE!$B$5))),ISNUMBER(SEARCH(C103,ASISTENTE!$B$5&amp;" "&amp;ASISTENTE!$B$6))),J103,0),0))</f>
        <v>0</v>
      </c>
      <c r="L103" s="17"/>
    </row>
    <row r="104" spans="1:12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27"/>
      <c r="K104" s="28">
        <f>IF(OR(B104&lt;&gt;"Sí",C104="",ASISTENTE!$B$6=""),0,IFERROR(IF(AND(OR(I104="",ISNUMBER(SEARCH(I104,ASISTENTE!$B$5))),ISNUMBER(SEARCH(C104,ASISTENTE!$B$5&amp;" "&amp;ASISTENTE!$B$6))),J104,0),0))</f>
        <v>0</v>
      </c>
      <c r="L104" s="17"/>
    </row>
  </sheetData>
  <mergeCells count="1">
    <mergeCell ref="A3:L3"/>
  </mergeCells>
  <dataValidations count="6">
    <dataValidation type="list" allowBlank="1" sqref="B5:B104" xr:uid="{00000000-0002-0000-1200-000000000000}">
      <formula1>"Sí,No"</formula1>
    </dataValidation>
    <dataValidation type="list" allowBlank="1" sqref="D5:D104" xr:uid="{00000000-0002-0000-1200-000001000000}">
      <formula1>Lst_TipoMovimiento</formula1>
    </dataValidation>
    <dataValidation type="list" allowBlank="1" sqref="E5:E104" xr:uid="{00000000-0002-0000-1200-000002000000}">
      <formula1>Lst_Categoria</formula1>
    </dataValidation>
    <dataValidation type="list" allowBlank="1" sqref="G5:G104" xr:uid="{00000000-0002-0000-1200-000003000000}">
      <formula1>Lst_MedioPago</formula1>
    </dataValidation>
    <dataValidation type="list" allowBlank="1" sqref="H5:H104" xr:uid="{00000000-0002-0000-1200-000004000000}">
      <formula1>Lst_Cuenta</formula1>
    </dataValidation>
    <dataValidation type="whole" allowBlank="1" sqref="J5:J104" xr:uid="{00000000-0002-0000-1200-000005000000}">
      <formula1>1</formula1>
      <formula2>100</formula2>
    </dataValidation>
  </dataValidation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7791F"/>
  </sheetPr>
  <dimension ref="A1:N8"/>
  <sheetViews>
    <sheetView workbookViewId="0"/>
  </sheetViews>
  <sheetFormatPr baseColWidth="10" defaultColWidth="9.140625" defaultRowHeight="15" x14ac:dyDescent="0.25"/>
  <cols>
    <col min="1" max="1" width="22" customWidth="1"/>
    <col min="2" max="13" width="9" customWidth="1"/>
    <col min="14" max="14" width="11" customWidth="1"/>
  </cols>
  <sheetData>
    <row r="1" spans="1:14" ht="21" x14ac:dyDescent="0.35">
      <c r="A1" s="1" t="s">
        <v>412</v>
      </c>
    </row>
    <row r="2" spans="1:14" x14ac:dyDescent="0.25">
      <c r="A2" s="2" t="s">
        <v>413</v>
      </c>
    </row>
    <row r="3" spans="1:14" x14ac:dyDescent="0.25">
      <c r="A3" t="s">
        <v>414</v>
      </c>
      <c r="B3" s="29">
        <v>2026</v>
      </c>
    </row>
    <row r="4" spans="1:14" ht="27.95" customHeight="1" x14ac:dyDescent="0.25">
      <c r="A4" s="30" t="s">
        <v>148</v>
      </c>
      <c r="B4" s="30" t="s">
        <v>415</v>
      </c>
      <c r="C4" s="30" t="s">
        <v>416</v>
      </c>
      <c r="D4" s="30" t="s">
        <v>417</v>
      </c>
      <c r="E4" s="30" t="s">
        <v>418</v>
      </c>
      <c r="F4" s="30" t="s">
        <v>419</v>
      </c>
      <c r="G4" s="30" t="s">
        <v>420</v>
      </c>
      <c r="H4" s="30" t="s">
        <v>421</v>
      </c>
      <c r="I4" s="30" t="s">
        <v>422</v>
      </c>
      <c r="J4" s="30" t="s">
        <v>423</v>
      </c>
      <c r="K4" s="30" t="s">
        <v>424</v>
      </c>
      <c r="L4" s="30" t="s">
        <v>425</v>
      </c>
      <c r="M4" s="30" t="s">
        <v>426</v>
      </c>
      <c r="N4" s="30" t="s">
        <v>316</v>
      </c>
    </row>
    <row r="5" spans="1:14" x14ac:dyDescent="0.25">
      <c r="A5" t="s">
        <v>153</v>
      </c>
      <c r="B5" s="21">
        <f>SUMPRODUCT((MOVIMIENTOS!$H$5:$H$10004=$A5)*((MOVIMIENTOS!$C$5:$C$10004="Ingreso")+(MOVIMIENTOS!$C$5:$C$10004="Venta"))*(YEAR(MOVIMIENTOS!$B$5:$B$10004)=$B$3)*(MONTH(MOVIMIENTOS!$B$5:$B$10004)=1)*(MOVIMIENTOS!$P$5:$P$10004="Pagado")*MOVIMIENTOS!$O$5:$O$10004)</f>
        <v>0</v>
      </c>
      <c r="C5" s="21">
        <f>SUMPRODUCT((MOVIMIENTOS!$H$5:$H$10004=$A5)*((MOVIMIENTOS!$C$5:$C$10004="Ingreso")+(MOVIMIENTOS!$C$5:$C$10004="Venta"))*(YEAR(MOVIMIENTOS!$B$5:$B$10004)=$B$3)*(MONTH(MOVIMIENTOS!$B$5:$B$10004)=2)*(MOVIMIENTOS!$P$5:$P$10004="Pagado")*MOVIMIENTOS!$O$5:$O$10004)</f>
        <v>0</v>
      </c>
      <c r="D5" s="21">
        <f>SUMPRODUCT((MOVIMIENTOS!$H$5:$H$10004=$A5)*((MOVIMIENTOS!$C$5:$C$10004="Ingreso")+(MOVIMIENTOS!$C$5:$C$10004="Venta"))*(YEAR(MOVIMIENTOS!$B$5:$B$10004)=$B$3)*(MONTH(MOVIMIENTOS!$B$5:$B$10004)=3)*(MOVIMIENTOS!$P$5:$P$10004="Pagado")*MOVIMIENTOS!$O$5:$O$10004)</f>
        <v>0</v>
      </c>
      <c r="E5" s="21">
        <f>SUMPRODUCT((MOVIMIENTOS!$H$5:$H$10004=$A5)*((MOVIMIENTOS!$C$5:$C$10004="Ingreso")+(MOVIMIENTOS!$C$5:$C$10004="Venta"))*(YEAR(MOVIMIENTOS!$B$5:$B$10004)=$B$3)*(MONTH(MOVIMIENTOS!$B$5:$B$10004)=4)*(MOVIMIENTOS!$P$5:$P$10004="Pagado")*MOVIMIENTOS!$O$5:$O$10004)</f>
        <v>0</v>
      </c>
      <c r="F5" s="21">
        <f>SUMPRODUCT((MOVIMIENTOS!$H$5:$H$10004=$A5)*((MOVIMIENTOS!$C$5:$C$10004="Ingreso")+(MOVIMIENTOS!$C$5:$C$10004="Venta"))*(YEAR(MOVIMIENTOS!$B$5:$B$10004)=$B$3)*(MONTH(MOVIMIENTOS!$B$5:$B$10004)=5)*(MOVIMIENTOS!$P$5:$P$10004="Pagado")*MOVIMIENTOS!$O$5:$O$10004)</f>
        <v>0</v>
      </c>
      <c r="G5" s="21">
        <f>SUMPRODUCT((MOVIMIENTOS!$H$5:$H$10004=$A5)*((MOVIMIENTOS!$C$5:$C$10004="Ingreso")+(MOVIMIENTOS!$C$5:$C$10004="Venta"))*(YEAR(MOVIMIENTOS!$B$5:$B$10004)=$B$3)*(MONTH(MOVIMIENTOS!$B$5:$B$10004)=6)*(MOVIMIENTOS!$P$5:$P$10004="Pagado")*MOVIMIENTOS!$O$5:$O$10004)</f>
        <v>0</v>
      </c>
      <c r="H5" s="21">
        <f>SUMPRODUCT((MOVIMIENTOS!$H$5:$H$10004=$A5)*((MOVIMIENTOS!$C$5:$C$10004="Ingreso")+(MOVIMIENTOS!$C$5:$C$10004="Venta"))*(YEAR(MOVIMIENTOS!$B$5:$B$10004)=$B$3)*(MONTH(MOVIMIENTOS!$B$5:$B$10004)=7)*(MOVIMIENTOS!$P$5:$P$10004="Pagado")*MOVIMIENTOS!$O$5:$O$10004)</f>
        <v>0</v>
      </c>
      <c r="I5" s="21">
        <f>SUMPRODUCT((MOVIMIENTOS!$H$5:$H$10004=$A5)*((MOVIMIENTOS!$C$5:$C$10004="Ingreso")+(MOVIMIENTOS!$C$5:$C$10004="Venta"))*(YEAR(MOVIMIENTOS!$B$5:$B$10004)=$B$3)*(MONTH(MOVIMIENTOS!$B$5:$B$10004)=8)*(MOVIMIENTOS!$P$5:$P$10004="Pagado")*MOVIMIENTOS!$O$5:$O$10004)</f>
        <v>0</v>
      </c>
      <c r="J5" s="21">
        <f>SUMPRODUCT((MOVIMIENTOS!$H$5:$H$10004=$A5)*((MOVIMIENTOS!$C$5:$C$10004="Ingreso")+(MOVIMIENTOS!$C$5:$C$10004="Venta"))*(YEAR(MOVIMIENTOS!$B$5:$B$10004)=$B$3)*(MONTH(MOVIMIENTOS!$B$5:$B$10004)=9)*(MOVIMIENTOS!$P$5:$P$10004="Pagado")*MOVIMIENTOS!$O$5:$O$10004)</f>
        <v>0</v>
      </c>
      <c r="K5" s="21">
        <f>SUMPRODUCT((MOVIMIENTOS!$H$5:$H$10004=$A5)*((MOVIMIENTOS!$C$5:$C$10004="Ingreso")+(MOVIMIENTOS!$C$5:$C$10004="Venta"))*(YEAR(MOVIMIENTOS!$B$5:$B$10004)=$B$3)*(MONTH(MOVIMIENTOS!$B$5:$B$10004)=10)*(MOVIMIENTOS!$P$5:$P$10004="Pagado")*MOVIMIENTOS!$O$5:$O$10004)</f>
        <v>0</v>
      </c>
      <c r="L5" s="21">
        <f>SUMPRODUCT((MOVIMIENTOS!$H$5:$H$10004=$A5)*((MOVIMIENTOS!$C$5:$C$10004="Ingreso")+(MOVIMIENTOS!$C$5:$C$10004="Venta"))*(YEAR(MOVIMIENTOS!$B$5:$B$10004)=$B$3)*(MONTH(MOVIMIENTOS!$B$5:$B$10004)=11)*(MOVIMIENTOS!$P$5:$P$10004="Pagado")*MOVIMIENTOS!$O$5:$O$10004)</f>
        <v>0</v>
      </c>
      <c r="M5" s="21">
        <f>SUMPRODUCT((MOVIMIENTOS!$H$5:$H$10004=$A5)*((MOVIMIENTOS!$C$5:$C$10004="Ingreso")+(MOVIMIENTOS!$C$5:$C$10004="Venta"))*(YEAR(MOVIMIENTOS!$B$5:$B$10004)=$B$3)*(MONTH(MOVIMIENTOS!$B$5:$B$10004)=12)*(MOVIMIENTOS!$P$5:$P$10004="Pagado")*MOVIMIENTOS!$O$5:$O$10004)</f>
        <v>0</v>
      </c>
      <c r="N5" s="21">
        <f>SUM(B5:M5)</f>
        <v>0</v>
      </c>
    </row>
    <row r="6" spans="1:14" x14ac:dyDescent="0.25">
      <c r="A6" t="s">
        <v>159</v>
      </c>
      <c r="B6" s="21">
        <f>SUMPRODUCT((MOVIMIENTOS!$H$5:$H$10004=$A6)*((MOVIMIENTOS!$C$5:$C$10004="Ingreso")+(MOVIMIENTOS!$C$5:$C$10004="Venta"))*(YEAR(MOVIMIENTOS!$B$5:$B$10004)=$B$3)*(MONTH(MOVIMIENTOS!$B$5:$B$10004)=1)*(MOVIMIENTOS!$P$5:$P$10004="Pagado")*MOVIMIENTOS!$O$5:$O$10004)</f>
        <v>0</v>
      </c>
      <c r="C6" s="21">
        <f>SUMPRODUCT((MOVIMIENTOS!$H$5:$H$10004=$A6)*((MOVIMIENTOS!$C$5:$C$10004="Ingreso")+(MOVIMIENTOS!$C$5:$C$10004="Venta"))*(YEAR(MOVIMIENTOS!$B$5:$B$10004)=$B$3)*(MONTH(MOVIMIENTOS!$B$5:$B$10004)=2)*(MOVIMIENTOS!$P$5:$P$10004="Pagado")*MOVIMIENTOS!$O$5:$O$10004)</f>
        <v>0</v>
      </c>
      <c r="D6" s="21">
        <f>SUMPRODUCT((MOVIMIENTOS!$H$5:$H$10004=$A6)*((MOVIMIENTOS!$C$5:$C$10004="Ingreso")+(MOVIMIENTOS!$C$5:$C$10004="Venta"))*(YEAR(MOVIMIENTOS!$B$5:$B$10004)=$B$3)*(MONTH(MOVIMIENTOS!$B$5:$B$10004)=3)*(MOVIMIENTOS!$P$5:$P$10004="Pagado")*MOVIMIENTOS!$O$5:$O$10004)</f>
        <v>0</v>
      </c>
      <c r="E6" s="21">
        <f>SUMPRODUCT((MOVIMIENTOS!$H$5:$H$10004=$A6)*((MOVIMIENTOS!$C$5:$C$10004="Ingreso")+(MOVIMIENTOS!$C$5:$C$10004="Venta"))*(YEAR(MOVIMIENTOS!$B$5:$B$10004)=$B$3)*(MONTH(MOVIMIENTOS!$B$5:$B$10004)=4)*(MOVIMIENTOS!$P$5:$P$10004="Pagado")*MOVIMIENTOS!$O$5:$O$10004)</f>
        <v>0</v>
      </c>
      <c r="F6" s="21">
        <f>SUMPRODUCT((MOVIMIENTOS!$H$5:$H$10004=$A6)*((MOVIMIENTOS!$C$5:$C$10004="Ingreso")+(MOVIMIENTOS!$C$5:$C$10004="Venta"))*(YEAR(MOVIMIENTOS!$B$5:$B$10004)=$B$3)*(MONTH(MOVIMIENTOS!$B$5:$B$10004)=5)*(MOVIMIENTOS!$P$5:$P$10004="Pagado")*MOVIMIENTOS!$O$5:$O$10004)</f>
        <v>0</v>
      </c>
      <c r="G6" s="21">
        <f>SUMPRODUCT((MOVIMIENTOS!$H$5:$H$10004=$A6)*((MOVIMIENTOS!$C$5:$C$10004="Ingreso")+(MOVIMIENTOS!$C$5:$C$10004="Venta"))*(YEAR(MOVIMIENTOS!$B$5:$B$10004)=$B$3)*(MONTH(MOVIMIENTOS!$B$5:$B$10004)=6)*(MOVIMIENTOS!$P$5:$P$10004="Pagado")*MOVIMIENTOS!$O$5:$O$10004)</f>
        <v>0</v>
      </c>
      <c r="H6" s="21">
        <f>SUMPRODUCT((MOVIMIENTOS!$H$5:$H$10004=$A6)*((MOVIMIENTOS!$C$5:$C$10004="Ingreso")+(MOVIMIENTOS!$C$5:$C$10004="Venta"))*(YEAR(MOVIMIENTOS!$B$5:$B$10004)=$B$3)*(MONTH(MOVIMIENTOS!$B$5:$B$10004)=7)*(MOVIMIENTOS!$P$5:$P$10004="Pagado")*MOVIMIENTOS!$O$5:$O$10004)</f>
        <v>0</v>
      </c>
      <c r="I6" s="21">
        <f>SUMPRODUCT((MOVIMIENTOS!$H$5:$H$10004=$A6)*((MOVIMIENTOS!$C$5:$C$10004="Ingreso")+(MOVIMIENTOS!$C$5:$C$10004="Venta"))*(YEAR(MOVIMIENTOS!$B$5:$B$10004)=$B$3)*(MONTH(MOVIMIENTOS!$B$5:$B$10004)=8)*(MOVIMIENTOS!$P$5:$P$10004="Pagado")*MOVIMIENTOS!$O$5:$O$10004)</f>
        <v>0</v>
      </c>
      <c r="J6" s="21">
        <f>SUMPRODUCT((MOVIMIENTOS!$H$5:$H$10004=$A6)*((MOVIMIENTOS!$C$5:$C$10004="Ingreso")+(MOVIMIENTOS!$C$5:$C$10004="Venta"))*(YEAR(MOVIMIENTOS!$B$5:$B$10004)=$B$3)*(MONTH(MOVIMIENTOS!$B$5:$B$10004)=9)*(MOVIMIENTOS!$P$5:$P$10004="Pagado")*MOVIMIENTOS!$O$5:$O$10004)</f>
        <v>0</v>
      </c>
      <c r="K6" s="21">
        <f>SUMPRODUCT((MOVIMIENTOS!$H$5:$H$10004=$A6)*((MOVIMIENTOS!$C$5:$C$10004="Ingreso")+(MOVIMIENTOS!$C$5:$C$10004="Venta"))*(YEAR(MOVIMIENTOS!$B$5:$B$10004)=$B$3)*(MONTH(MOVIMIENTOS!$B$5:$B$10004)=10)*(MOVIMIENTOS!$P$5:$P$10004="Pagado")*MOVIMIENTOS!$O$5:$O$10004)</f>
        <v>0</v>
      </c>
      <c r="L6" s="21">
        <f>SUMPRODUCT((MOVIMIENTOS!$H$5:$H$10004=$A6)*((MOVIMIENTOS!$C$5:$C$10004="Ingreso")+(MOVIMIENTOS!$C$5:$C$10004="Venta"))*(YEAR(MOVIMIENTOS!$B$5:$B$10004)=$B$3)*(MONTH(MOVIMIENTOS!$B$5:$B$10004)=11)*(MOVIMIENTOS!$P$5:$P$10004="Pagado")*MOVIMIENTOS!$O$5:$O$10004)</f>
        <v>0</v>
      </c>
      <c r="M6" s="21">
        <f>SUMPRODUCT((MOVIMIENTOS!$H$5:$H$10004=$A6)*((MOVIMIENTOS!$C$5:$C$10004="Ingreso")+(MOVIMIENTOS!$C$5:$C$10004="Venta"))*(YEAR(MOVIMIENTOS!$B$5:$B$10004)=$B$3)*(MONTH(MOVIMIENTOS!$B$5:$B$10004)=12)*(MOVIMIENTOS!$P$5:$P$10004="Pagado")*MOVIMIENTOS!$O$5:$O$10004)</f>
        <v>0</v>
      </c>
      <c r="N6" s="21">
        <f>SUM(B6:M6)</f>
        <v>0</v>
      </c>
    </row>
    <row r="7" spans="1:14" x14ac:dyDescent="0.25">
      <c r="A7" t="s">
        <v>154</v>
      </c>
      <c r="B7" s="21">
        <f>SUMPRODUCT((MOVIMIENTOS!$H$5:$H$10004=$A7)*((MOVIMIENTOS!$C$5:$C$10004="Ingreso")+(MOVIMIENTOS!$C$5:$C$10004="Venta"))*(YEAR(MOVIMIENTOS!$B$5:$B$10004)=$B$3)*(MONTH(MOVIMIENTOS!$B$5:$B$10004)=1)*(MOVIMIENTOS!$P$5:$P$10004="Pagado")*MOVIMIENTOS!$O$5:$O$10004)</f>
        <v>0</v>
      </c>
      <c r="C7" s="21">
        <f>SUMPRODUCT((MOVIMIENTOS!$H$5:$H$10004=$A7)*((MOVIMIENTOS!$C$5:$C$10004="Ingreso")+(MOVIMIENTOS!$C$5:$C$10004="Venta"))*(YEAR(MOVIMIENTOS!$B$5:$B$10004)=$B$3)*(MONTH(MOVIMIENTOS!$B$5:$B$10004)=2)*(MOVIMIENTOS!$P$5:$P$10004="Pagado")*MOVIMIENTOS!$O$5:$O$10004)</f>
        <v>0</v>
      </c>
      <c r="D7" s="21">
        <f>SUMPRODUCT((MOVIMIENTOS!$H$5:$H$10004=$A7)*((MOVIMIENTOS!$C$5:$C$10004="Ingreso")+(MOVIMIENTOS!$C$5:$C$10004="Venta"))*(YEAR(MOVIMIENTOS!$B$5:$B$10004)=$B$3)*(MONTH(MOVIMIENTOS!$B$5:$B$10004)=3)*(MOVIMIENTOS!$P$5:$P$10004="Pagado")*MOVIMIENTOS!$O$5:$O$10004)</f>
        <v>0</v>
      </c>
      <c r="E7" s="21">
        <f>SUMPRODUCT((MOVIMIENTOS!$H$5:$H$10004=$A7)*((MOVIMIENTOS!$C$5:$C$10004="Ingreso")+(MOVIMIENTOS!$C$5:$C$10004="Venta"))*(YEAR(MOVIMIENTOS!$B$5:$B$10004)=$B$3)*(MONTH(MOVIMIENTOS!$B$5:$B$10004)=4)*(MOVIMIENTOS!$P$5:$P$10004="Pagado")*MOVIMIENTOS!$O$5:$O$10004)</f>
        <v>0</v>
      </c>
      <c r="F7" s="21">
        <f>SUMPRODUCT((MOVIMIENTOS!$H$5:$H$10004=$A7)*((MOVIMIENTOS!$C$5:$C$10004="Ingreso")+(MOVIMIENTOS!$C$5:$C$10004="Venta"))*(YEAR(MOVIMIENTOS!$B$5:$B$10004)=$B$3)*(MONTH(MOVIMIENTOS!$B$5:$B$10004)=5)*(MOVIMIENTOS!$P$5:$P$10004="Pagado")*MOVIMIENTOS!$O$5:$O$10004)</f>
        <v>0</v>
      </c>
      <c r="G7" s="21">
        <f>SUMPRODUCT((MOVIMIENTOS!$H$5:$H$10004=$A7)*((MOVIMIENTOS!$C$5:$C$10004="Ingreso")+(MOVIMIENTOS!$C$5:$C$10004="Venta"))*(YEAR(MOVIMIENTOS!$B$5:$B$10004)=$B$3)*(MONTH(MOVIMIENTOS!$B$5:$B$10004)=6)*(MOVIMIENTOS!$P$5:$P$10004="Pagado")*MOVIMIENTOS!$O$5:$O$10004)</f>
        <v>0</v>
      </c>
      <c r="H7" s="21">
        <f>SUMPRODUCT((MOVIMIENTOS!$H$5:$H$10004=$A7)*((MOVIMIENTOS!$C$5:$C$10004="Ingreso")+(MOVIMIENTOS!$C$5:$C$10004="Venta"))*(YEAR(MOVIMIENTOS!$B$5:$B$10004)=$B$3)*(MONTH(MOVIMIENTOS!$B$5:$B$10004)=7)*(MOVIMIENTOS!$P$5:$P$10004="Pagado")*MOVIMIENTOS!$O$5:$O$10004)</f>
        <v>0</v>
      </c>
      <c r="I7" s="21">
        <f>SUMPRODUCT((MOVIMIENTOS!$H$5:$H$10004=$A7)*((MOVIMIENTOS!$C$5:$C$10004="Ingreso")+(MOVIMIENTOS!$C$5:$C$10004="Venta"))*(YEAR(MOVIMIENTOS!$B$5:$B$10004)=$B$3)*(MONTH(MOVIMIENTOS!$B$5:$B$10004)=8)*(MOVIMIENTOS!$P$5:$P$10004="Pagado")*MOVIMIENTOS!$O$5:$O$10004)</f>
        <v>0</v>
      </c>
      <c r="J7" s="21">
        <f>SUMPRODUCT((MOVIMIENTOS!$H$5:$H$10004=$A7)*((MOVIMIENTOS!$C$5:$C$10004="Ingreso")+(MOVIMIENTOS!$C$5:$C$10004="Venta"))*(YEAR(MOVIMIENTOS!$B$5:$B$10004)=$B$3)*(MONTH(MOVIMIENTOS!$B$5:$B$10004)=9)*(MOVIMIENTOS!$P$5:$P$10004="Pagado")*MOVIMIENTOS!$O$5:$O$10004)</f>
        <v>0</v>
      </c>
      <c r="K7" s="21">
        <f>SUMPRODUCT((MOVIMIENTOS!$H$5:$H$10004=$A7)*((MOVIMIENTOS!$C$5:$C$10004="Ingreso")+(MOVIMIENTOS!$C$5:$C$10004="Venta"))*(YEAR(MOVIMIENTOS!$B$5:$B$10004)=$B$3)*(MONTH(MOVIMIENTOS!$B$5:$B$10004)=10)*(MOVIMIENTOS!$P$5:$P$10004="Pagado")*MOVIMIENTOS!$O$5:$O$10004)</f>
        <v>0</v>
      </c>
      <c r="L7" s="21">
        <f>SUMPRODUCT((MOVIMIENTOS!$H$5:$H$10004=$A7)*((MOVIMIENTOS!$C$5:$C$10004="Ingreso")+(MOVIMIENTOS!$C$5:$C$10004="Venta"))*(YEAR(MOVIMIENTOS!$B$5:$B$10004)=$B$3)*(MONTH(MOVIMIENTOS!$B$5:$B$10004)=11)*(MOVIMIENTOS!$P$5:$P$10004="Pagado")*MOVIMIENTOS!$O$5:$O$10004)</f>
        <v>0</v>
      </c>
      <c r="M7" s="21">
        <f>SUMPRODUCT((MOVIMIENTOS!$H$5:$H$10004=$A7)*((MOVIMIENTOS!$C$5:$C$10004="Ingreso")+(MOVIMIENTOS!$C$5:$C$10004="Venta"))*(YEAR(MOVIMIENTOS!$B$5:$B$10004)=$B$3)*(MONTH(MOVIMIENTOS!$B$5:$B$10004)=12)*(MOVIMIENTOS!$P$5:$P$10004="Pagado")*MOVIMIENTOS!$O$5:$O$10004)</f>
        <v>0</v>
      </c>
      <c r="N7" s="21">
        <f>SUM(B7:M7)</f>
        <v>0</v>
      </c>
    </row>
    <row r="8" spans="1:14" x14ac:dyDescent="0.25">
      <c r="A8" s="6" t="s">
        <v>427</v>
      </c>
      <c r="B8" s="31">
        <f t="shared" ref="B8:N8" si="0">SUM(B5:B7)</f>
        <v>0</v>
      </c>
      <c r="C8" s="31">
        <f t="shared" si="0"/>
        <v>0</v>
      </c>
      <c r="D8" s="31">
        <f t="shared" si="0"/>
        <v>0</v>
      </c>
      <c r="E8" s="31">
        <f t="shared" si="0"/>
        <v>0</v>
      </c>
      <c r="F8" s="31">
        <f t="shared" si="0"/>
        <v>0</v>
      </c>
      <c r="G8" s="31">
        <f t="shared" si="0"/>
        <v>0</v>
      </c>
      <c r="H8" s="31">
        <f t="shared" si="0"/>
        <v>0</v>
      </c>
      <c r="I8" s="31">
        <f t="shared" si="0"/>
        <v>0</v>
      </c>
      <c r="J8" s="31">
        <f t="shared" si="0"/>
        <v>0</v>
      </c>
      <c r="K8" s="31">
        <f t="shared" si="0"/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7791F"/>
  </sheetPr>
  <dimension ref="A1:N10"/>
  <sheetViews>
    <sheetView workbookViewId="0"/>
  </sheetViews>
  <sheetFormatPr baseColWidth="10" defaultColWidth="9.140625" defaultRowHeight="15" x14ac:dyDescent="0.25"/>
  <cols>
    <col min="1" max="1" width="22" customWidth="1"/>
    <col min="2" max="13" width="9" customWidth="1"/>
    <col min="14" max="14" width="11" customWidth="1"/>
  </cols>
  <sheetData>
    <row r="1" spans="1:14" ht="21" x14ac:dyDescent="0.35">
      <c r="A1" s="1" t="s">
        <v>428</v>
      </c>
    </row>
    <row r="2" spans="1:14" x14ac:dyDescent="0.25">
      <c r="A2" s="2" t="s">
        <v>429</v>
      </c>
    </row>
    <row r="3" spans="1:14" x14ac:dyDescent="0.25">
      <c r="A3" t="s">
        <v>414</v>
      </c>
      <c r="B3" s="29">
        <v>2026</v>
      </c>
    </row>
    <row r="4" spans="1:14" ht="27.95" customHeight="1" x14ac:dyDescent="0.25">
      <c r="A4" s="30" t="s">
        <v>148</v>
      </c>
      <c r="B4" s="30" t="s">
        <v>415</v>
      </c>
      <c r="C4" s="30" t="s">
        <v>416</v>
      </c>
      <c r="D4" s="30" t="s">
        <v>417</v>
      </c>
      <c r="E4" s="30" t="s">
        <v>418</v>
      </c>
      <c r="F4" s="30" t="s">
        <v>419</v>
      </c>
      <c r="G4" s="30" t="s">
        <v>420</v>
      </c>
      <c r="H4" s="30" t="s">
        <v>421</v>
      </c>
      <c r="I4" s="30" t="s">
        <v>422</v>
      </c>
      <c r="J4" s="30" t="s">
        <v>423</v>
      </c>
      <c r="K4" s="30" t="s">
        <v>424</v>
      </c>
      <c r="L4" s="30" t="s">
        <v>425</v>
      </c>
      <c r="M4" s="30" t="s">
        <v>426</v>
      </c>
      <c r="N4" s="30" t="s">
        <v>316</v>
      </c>
    </row>
    <row r="5" spans="1:14" x14ac:dyDescent="0.25">
      <c r="A5" t="s">
        <v>163</v>
      </c>
      <c r="B5" s="21">
        <f>SUMPRODUCT((MOVIMIENTOS!$H$5:$H$10004=$A5)*((MOVIMIENTOS!$C$5:$C$10004="Gasto")+(MOVIMIENTOS!$C$5:$C$10004="Compra"))*(YEAR(MOVIMIENTOS!$B$5:$B$10004)=$B$3)*(MONTH(MOVIMIENTOS!$B$5:$B$10004)=1)*(MOVIMIENTOS!$P$5:$P$10004="Pagado")*MOVIMIENTOS!$O$5:$O$10004)</f>
        <v>0</v>
      </c>
      <c r="C5" s="21">
        <f>SUMPRODUCT((MOVIMIENTOS!$H$5:$H$10004=$A5)*((MOVIMIENTOS!$C$5:$C$10004="Gasto")+(MOVIMIENTOS!$C$5:$C$10004="Compra"))*(YEAR(MOVIMIENTOS!$B$5:$B$10004)=$B$3)*(MONTH(MOVIMIENTOS!$B$5:$B$10004)=2)*(MOVIMIENTOS!$P$5:$P$10004="Pagado")*MOVIMIENTOS!$O$5:$O$10004)</f>
        <v>0</v>
      </c>
      <c r="D5" s="21">
        <f>SUMPRODUCT((MOVIMIENTOS!$H$5:$H$10004=$A5)*((MOVIMIENTOS!$C$5:$C$10004="Gasto")+(MOVIMIENTOS!$C$5:$C$10004="Compra"))*(YEAR(MOVIMIENTOS!$B$5:$B$10004)=$B$3)*(MONTH(MOVIMIENTOS!$B$5:$B$10004)=3)*(MOVIMIENTOS!$P$5:$P$10004="Pagado")*MOVIMIENTOS!$O$5:$O$10004)</f>
        <v>0</v>
      </c>
      <c r="E5" s="21">
        <f>SUMPRODUCT((MOVIMIENTOS!$H$5:$H$10004=$A5)*((MOVIMIENTOS!$C$5:$C$10004="Gasto")+(MOVIMIENTOS!$C$5:$C$10004="Compra"))*(YEAR(MOVIMIENTOS!$B$5:$B$10004)=$B$3)*(MONTH(MOVIMIENTOS!$B$5:$B$10004)=4)*(MOVIMIENTOS!$P$5:$P$10004="Pagado")*MOVIMIENTOS!$O$5:$O$10004)</f>
        <v>0</v>
      </c>
      <c r="F5" s="21">
        <f>SUMPRODUCT((MOVIMIENTOS!$H$5:$H$10004=$A5)*((MOVIMIENTOS!$C$5:$C$10004="Gasto")+(MOVIMIENTOS!$C$5:$C$10004="Compra"))*(YEAR(MOVIMIENTOS!$B$5:$B$10004)=$B$3)*(MONTH(MOVIMIENTOS!$B$5:$B$10004)=5)*(MOVIMIENTOS!$P$5:$P$10004="Pagado")*MOVIMIENTOS!$O$5:$O$10004)</f>
        <v>0</v>
      </c>
      <c r="G5" s="21">
        <f>SUMPRODUCT((MOVIMIENTOS!$H$5:$H$10004=$A5)*((MOVIMIENTOS!$C$5:$C$10004="Gasto")+(MOVIMIENTOS!$C$5:$C$10004="Compra"))*(YEAR(MOVIMIENTOS!$B$5:$B$10004)=$B$3)*(MONTH(MOVIMIENTOS!$B$5:$B$10004)=6)*(MOVIMIENTOS!$P$5:$P$10004="Pagado")*MOVIMIENTOS!$O$5:$O$10004)</f>
        <v>0</v>
      </c>
      <c r="H5" s="21">
        <f>SUMPRODUCT((MOVIMIENTOS!$H$5:$H$10004=$A5)*((MOVIMIENTOS!$C$5:$C$10004="Gasto")+(MOVIMIENTOS!$C$5:$C$10004="Compra"))*(YEAR(MOVIMIENTOS!$B$5:$B$10004)=$B$3)*(MONTH(MOVIMIENTOS!$B$5:$B$10004)=7)*(MOVIMIENTOS!$P$5:$P$10004="Pagado")*MOVIMIENTOS!$O$5:$O$10004)</f>
        <v>0</v>
      </c>
      <c r="I5" s="21">
        <f>SUMPRODUCT((MOVIMIENTOS!$H$5:$H$10004=$A5)*((MOVIMIENTOS!$C$5:$C$10004="Gasto")+(MOVIMIENTOS!$C$5:$C$10004="Compra"))*(YEAR(MOVIMIENTOS!$B$5:$B$10004)=$B$3)*(MONTH(MOVIMIENTOS!$B$5:$B$10004)=8)*(MOVIMIENTOS!$P$5:$P$10004="Pagado")*MOVIMIENTOS!$O$5:$O$10004)</f>
        <v>0</v>
      </c>
      <c r="J5" s="21">
        <f>SUMPRODUCT((MOVIMIENTOS!$H$5:$H$10004=$A5)*((MOVIMIENTOS!$C$5:$C$10004="Gasto")+(MOVIMIENTOS!$C$5:$C$10004="Compra"))*(YEAR(MOVIMIENTOS!$B$5:$B$10004)=$B$3)*(MONTH(MOVIMIENTOS!$B$5:$B$10004)=9)*(MOVIMIENTOS!$P$5:$P$10004="Pagado")*MOVIMIENTOS!$O$5:$O$10004)</f>
        <v>0</v>
      </c>
      <c r="K5" s="21">
        <f>SUMPRODUCT((MOVIMIENTOS!$H$5:$H$10004=$A5)*((MOVIMIENTOS!$C$5:$C$10004="Gasto")+(MOVIMIENTOS!$C$5:$C$10004="Compra"))*(YEAR(MOVIMIENTOS!$B$5:$B$10004)=$B$3)*(MONTH(MOVIMIENTOS!$B$5:$B$10004)=10)*(MOVIMIENTOS!$P$5:$P$10004="Pagado")*MOVIMIENTOS!$O$5:$O$10004)</f>
        <v>0</v>
      </c>
      <c r="L5" s="21">
        <f>SUMPRODUCT((MOVIMIENTOS!$H$5:$H$10004=$A5)*((MOVIMIENTOS!$C$5:$C$10004="Gasto")+(MOVIMIENTOS!$C$5:$C$10004="Compra"))*(YEAR(MOVIMIENTOS!$B$5:$B$10004)=$B$3)*(MONTH(MOVIMIENTOS!$B$5:$B$10004)=11)*(MOVIMIENTOS!$P$5:$P$10004="Pagado")*MOVIMIENTOS!$O$5:$O$10004)</f>
        <v>0</v>
      </c>
      <c r="M5" s="21">
        <f>SUMPRODUCT((MOVIMIENTOS!$H$5:$H$10004=$A5)*((MOVIMIENTOS!$C$5:$C$10004="Gasto")+(MOVIMIENTOS!$C$5:$C$10004="Compra"))*(YEAR(MOVIMIENTOS!$B$5:$B$10004)=$B$3)*(MONTH(MOVIMIENTOS!$B$5:$B$10004)=12)*(MOVIMIENTOS!$P$5:$P$10004="Pagado")*MOVIMIENTOS!$O$5:$O$10004)</f>
        <v>0</v>
      </c>
      <c r="N5" s="21">
        <f>SUM(B5:M5)</f>
        <v>0</v>
      </c>
    </row>
    <row r="6" spans="1:14" x14ac:dyDescent="0.25">
      <c r="A6" t="s">
        <v>168</v>
      </c>
      <c r="B6" s="21">
        <f>SUMPRODUCT((MOVIMIENTOS!$H$5:$H$10004=$A6)*((MOVIMIENTOS!$C$5:$C$10004="Gasto")+(MOVIMIENTOS!$C$5:$C$10004="Compra"))*(YEAR(MOVIMIENTOS!$B$5:$B$10004)=$B$3)*(MONTH(MOVIMIENTOS!$B$5:$B$10004)=1)*(MOVIMIENTOS!$P$5:$P$10004="Pagado")*MOVIMIENTOS!$O$5:$O$10004)</f>
        <v>0</v>
      </c>
      <c r="C6" s="21">
        <f>SUMPRODUCT((MOVIMIENTOS!$H$5:$H$10004=$A6)*((MOVIMIENTOS!$C$5:$C$10004="Gasto")+(MOVIMIENTOS!$C$5:$C$10004="Compra"))*(YEAR(MOVIMIENTOS!$B$5:$B$10004)=$B$3)*(MONTH(MOVIMIENTOS!$B$5:$B$10004)=2)*(MOVIMIENTOS!$P$5:$P$10004="Pagado")*MOVIMIENTOS!$O$5:$O$10004)</f>
        <v>0</v>
      </c>
      <c r="D6" s="21">
        <f>SUMPRODUCT((MOVIMIENTOS!$H$5:$H$10004=$A6)*((MOVIMIENTOS!$C$5:$C$10004="Gasto")+(MOVIMIENTOS!$C$5:$C$10004="Compra"))*(YEAR(MOVIMIENTOS!$B$5:$B$10004)=$B$3)*(MONTH(MOVIMIENTOS!$B$5:$B$10004)=3)*(MOVIMIENTOS!$P$5:$P$10004="Pagado")*MOVIMIENTOS!$O$5:$O$10004)</f>
        <v>0</v>
      </c>
      <c r="E6" s="21">
        <f>SUMPRODUCT((MOVIMIENTOS!$H$5:$H$10004=$A6)*((MOVIMIENTOS!$C$5:$C$10004="Gasto")+(MOVIMIENTOS!$C$5:$C$10004="Compra"))*(YEAR(MOVIMIENTOS!$B$5:$B$10004)=$B$3)*(MONTH(MOVIMIENTOS!$B$5:$B$10004)=4)*(MOVIMIENTOS!$P$5:$P$10004="Pagado")*MOVIMIENTOS!$O$5:$O$10004)</f>
        <v>0</v>
      </c>
      <c r="F6" s="21">
        <f>SUMPRODUCT((MOVIMIENTOS!$H$5:$H$10004=$A6)*((MOVIMIENTOS!$C$5:$C$10004="Gasto")+(MOVIMIENTOS!$C$5:$C$10004="Compra"))*(YEAR(MOVIMIENTOS!$B$5:$B$10004)=$B$3)*(MONTH(MOVIMIENTOS!$B$5:$B$10004)=5)*(MOVIMIENTOS!$P$5:$P$10004="Pagado")*MOVIMIENTOS!$O$5:$O$10004)</f>
        <v>0</v>
      </c>
      <c r="G6" s="21">
        <f>SUMPRODUCT((MOVIMIENTOS!$H$5:$H$10004=$A6)*((MOVIMIENTOS!$C$5:$C$10004="Gasto")+(MOVIMIENTOS!$C$5:$C$10004="Compra"))*(YEAR(MOVIMIENTOS!$B$5:$B$10004)=$B$3)*(MONTH(MOVIMIENTOS!$B$5:$B$10004)=6)*(MOVIMIENTOS!$P$5:$P$10004="Pagado")*MOVIMIENTOS!$O$5:$O$10004)</f>
        <v>0</v>
      </c>
      <c r="H6" s="21">
        <f>SUMPRODUCT((MOVIMIENTOS!$H$5:$H$10004=$A6)*((MOVIMIENTOS!$C$5:$C$10004="Gasto")+(MOVIMIENTOS!$C$5:$C$10004="Compra"))*(YEAR(MOVIMIENTOS!$B$5:$B$10004)=$B$3)*(MONTH(MOVIMIENTOS!$B$5:$B$10004)=7)*(MOVIMIENTOS!$P$5:$P$10004="Pagado")*MOVIMIENTOS!$O$5:$O$10004)</f>
        <v>0</v>
      </c>
      <c r="I6" s="21">
        <f>SUMPRODUCT((MOVIMIENTOS!$H$5:$H$10004=$A6)*((MOVIMIENTOS!$C$5:$C$10004="Gasto")+(MOVIMIENTOS!$C$5:$C$10004="Compra"))*(YEAR(MOVIMIENTOS!$B$5:$B$10004)=$B$3)*(MONTH(MOVIMIENTOS!$B$5:$B$10004)=8)*(MOVIMIENTOS!$P$5:$P$10004="Pagado")*MOVIMIENTOS!$O$5:$O$10004)</f>
        <v>0</v>
      </c>
      <c r="J6" s="21">
        <f>SUMPRODUCT((MOVIMIENTOS!$H$5:$H$10004=$A6)*((MOVIMIENTOS!$C$5:$C$10004="Gasto")+(MOVIMIENTOS!$C$5:$C$10004="Compra"))*(YEAR(MOVIMIENTOS!$B$5:$B$10004)=$B$3)*(MONTH(MOVIMIENTOS!$B$5:$B$10004)=9)*(MOVIMIENTOS!$P$5:$P$10004="Pagado")*MOVIMIENTOS!$O$5:$O$10004)</f>
        <v>0</v>
      </c>
      <c r="K6" s="21">
        <f>SUMPRODUCT((MOVIMIENTOS!$H$5:$H$10004=$A6)*((MOVIMIENTOS!$C$5:$C$10004="Gasto")+(MOVIMIENTOS!$C$5:$C$10004="Compra"))*(YEAR(MOVIMIENTOS!$B$5:$B$10004)=$B$3)*(MONTH(MOVIMIENTOS!$B$5:$B$10004)=10)*(MOVIMIENTOS!$P$5:$P$10004="Pagado")*MOVIMIENTOS!$O$5:$O$10004)</f>
        <v>0</v>
      </c>
      <c r="L6" s="21">
        <f>SUMPRODUCT((MOVIMIENTOS!$H$5:$H$10004=$A6)*((MOVIMIENTOS!$C$5:$C$10004="Gasto")+(MOVIMIENTOS!$C$5:$C$10004="Compra"))*(YEAR(MOVIMIENTOS!$B$5:$B$10004)=$B$3)*(MONTH(MOVIMIENTOS!$B$5:$B$10004)=11)*(MOVIMIENTOS!$P$5:$P$10004="Pagado")*MOVIMIENTOS!$O$5:$O$10004)</f>
        <v>0</v>
      </c>
      <c r="M6" s="21">
        <f>SUMPRODUCT((MOVIMIENTOS!$H$5:$H$10004=$A6)*((MOVIMIENTOS!$C$5:$C$10004="Gasto")+(MOVIMIENTOS!$C$5:$C$10004="Compra"))*(YEAR(MOVIMIENTOS!$B$5:$B$10004)=$B$3)*(MONTH(MOVIMIENTOS!$B$5:$B$10004)=12)*(MOVIMIENTOS!$P$5:$P$10004="Pagado")*MOVIMIENTOS!$O$5:$O$10004)</f>
        <v>0</v>
      </c>
      <c r="N6" s="21">
        <f>SUM(B6:M6)</f>
        <v>0</v>
      </c>
    </row>
    <row r="7" spans="1:14" x14ac:dyDescent="0.25">
      <c r="A7" t="s">
        <v>173</v>
      </c>
      <c r="B7" s="21">
        <f>SUMPRODUCT((MOVIMIENTOS!$H$5:$H$10004=$A7)*((MOVIMIENTOS!$C$5:$C$10004="Gasto")+(MOVIMIENTOS!$C$5:$C$10004="Compra"))*(YEAR(MOVIMIENTOS!$B$5:$B$10004)=$B$3)*(MONTH(MOVIMIENTOS!$B$5:$B$10004)=1)*(MOVIMIENTOS!$P$5:$P$10004="Pagado")*MOVIMIENTOS!$O$5:$O$10004)</f>
        <v>0</v>
      </c>
      <c r="C7" s="21">
        <f>SUMPRODUCT((MOVIMIENTOS!$H$5:$H$10004=$A7)*((MOVIMIENTOS!$C$5:$C$10004="Gasto")+(MOVIMIENTOS!$C$5:$C$10004="Compra"))*(YEAR(MOVIMIENTOS!$B$5:$B$10004)=$B$3)*(MONTH(MOVIMIENTOS!$B$5:$B$10004)=2)*(MOVIMIENTOS!$P$5:$P$10004="Pagado")*MOVIMIENTOS!$O$5:$O$10004)</f>
        <v>0</v>
      </c>
      <c r="D7" s="21">
        <f>SUMPRODUCT((MOVIMIENTOS!$H$5:$H$10004=$A7)*((MOVIMIENTOS!$C$5:$C$10004="Gasto")+(MOVIMIENTOS!$C$5:$C$10004="Compra"))*(YEAR(MOVIMIENTOS!$B$5:$B$10004)=$B$3)*(MONTH(MOVIMIENTOS!$B$5:$B$10004)=3)*(MOVIMIENTOS!$P$5:$P$10004="Pagado")*MOVIMIENTOS!$O$5:$O$10004)</f>
        <v>0</v>
      </c>
      <c r="E7" s="21">
        <f>SUMPRODUCT((MOVIMIENTOS!$H$5:$H$10004=$A7)*((MOVIMIENTOS!$C$5:$C$10004="Gasto")+(MOVIMIENTOS!$C$5:$C$10004="Compra"))*(YEAR(MOVIMIENTOS!$B$5:$B$10004)=$B$3)*(MONTH(MOVIMIENTOS!$B$5:$B$10004)=4)*(MOVIMIENTOS!$P$5:$P$10004="Pagado")*MOVIMIENTOS!$O$5:$O$10004)</f>
        <v>0</v>
      </c>
      <c r="F7" s="21">
        <f>SUMPRODUCT((MOVIMIENTOS!$H$5:$H$10004=$A7)*((MOVIMIENTOS!$C$5:$C$10004="Gasto")+(MOVIMIENTOS!$C$5:$C$10004="Compra"))*(YEAR(MOVIMIENTOS!$B$5:$B$10004)=$B$3)*(MONTH(MOVIMIENTOS!$B$5:$B$10004)=5)*(MOVIMIENTOS!$P$5:$P$10004="Pagado")*MOVIMIENTOS!$O$5:$O$10004)</f>
        <v>0</v>
      </c>
      <c r="G7" s="21">
        <f>SUMPRODUCT((MOVIMIENTOS!$H$5:$H$10004=$A7)*((MOVIMIENTOS!$C$5:$C$10004="Gasto")+(MOVIMIENTOS!$C$5:$C$10004="Compra"))*(YEAR(MOVIMIENTOS!$B$5:$B$10004)=$B$3)*(MONTH(MOVIMIENTOS!$B$5:$B$10004)=6)*(MOVIMIENTOS!$P$5:$P$10004="Pagado")*MOVIMIENTOS!$O$5:$O$10004)</f>
        <v>0</v>
      </c>
      <c r="H7" s="21">
        <f>SUMPRODUCT((MOVIMIENTOS!$H$5:$H$10004=$A7)*((MOVIMIENTOS!$C$5:$C$10004="Gasto")+(MOVIMIENTOS!$C$5:$C$10004="Compra"))*(YEAR(MOVIMIENTOS!$B$5:$B$10004)=$B$3)*(MONTH(MOVIMIENTOS!$B$5:$B$10004)=7)*(MOVIMIENTOS!$P$5:$P$10004="Pagado")*MOVIMIENTOS!$O$5:$O$10004)</f>
        <v>0</v>
      </c>
      <c r="I7" s="21">
        <f>SUMPRODUCT((MOVIMIENTOS!$H$5:$H$10004=$A7)*((MOVIMIENTOS!$C$5:$C$10004="Gasto")+(MOVIMIENTOS!$C$5:$C$10004="Compra"))*(YEAR(MOVIMIENTOS!$B$5:$B$10004)=$B$3)*(MONTH(MOVIMIENTOS!$B$5:$B$10004)=8)*(MOVIMIENTOS!$P$5:$P$10004="Pagado")*MOVIMIENTOS!$O$5:$O$10004)</f>
        <v>0</v>
      </c>
      <c r="J7" s="21">
        <f>SUMPRODUCT((MOVIMIENTOS!$H$5:$H$10004=$A7)*((MOVIMIENTOS!$C$5:$C$10004="Gasto")+(MOVIMIENTOS!$C$5:$C$10004="Compra"))*(YEAR(MOVIMIENTOS!$B$5:$B$10004)=$B$3)*(MONTH(MOVIMIENTOS!$B$5:$B$10004)=9)*(MOVIMIENTOS!$P$5:$P$10004="Pagado")*MOVIMIENTOS!$O$5:$O$10004)</f>
        <v>0</v>
      </c>
      <c r="K7" s="21">
        <f>SUMPRODUCT((MOVIMIENTOS!$H$5:$H$10004=$A7)*((MOVIMIENTOS!$C$5:$C$10004="Gasto")+(MOVIMIENTOS!$C$5:$C$10004="Compra"))*(YEAR(MOVIMIENTOS!$B$5:$B$10004)=$B$3)*(MONTH(MOVIMIENTOS!$B$5:$B$10004)=10)*(MOVIMIENTOS!$P$5:$P$10004="Pagado")*MOVIMIENTOS!$O$5:$O$10004)</f>
        <v>0</v>
      </c>
      <c r="L7" s="21">
        <f>SUMPRODUCT((MOVIMIENTOS!$H$5:$H$10004=$A7)*((MOVIMIENTOS!$C$5:$C$10004="Gasto")+(MOVIMIENTOS!$C$5:$C$10004="Compra"))*(YEAR(MOVIMIENTOS!$B$5:$B$10004)=$B$3)*(MONTH(MOVIMIENTOS!$B$5:$B$10004)=11)*(MOVIMIENTOS!$P$5:$P$10004="Pagado")*MOVIMIENTOS!$O$5:$O$10004)</f>
        <v>0</v>
      </c>
      <c r="M7" s="21">
        <f>SUMPRODUCT((MOVIMIENTOS!$H$5:$H$10004=$A7)*((MOVIMIENTOS!$C$5:$C$10004="Gasto")+(MOVIMIENTOS!$C$5:$C$10004="Compra"))*(YEAR(MOVIMIENTOS!$B$5:$B$10004)=$B$3)*(MONTH(MOVIMIENTOS!$B$5:$B$10004)=12)*(MOVIMIENTOS!$P$5:$P$10004="Pagado")*MOVIMIENTOS!$O$5:$O$10004)</f>
        <v>0</v>
      </c>
      <c r="N7" s="21">
        <f>SUM(B7:M7)</f>
        <v>0</v>
      </c>
    </row>
    <row r="8" spans="1:14" x14ac:dyDescent="0.25">
      <c r="A8" t="s">
        <v>177</v>
      </c>
      <c r="B8" s="21">
        <f>SUMPRODUCT((MOVIMIENTOS!$H$5:$H$10004=$A8)*((MOVIMIENTOS!$C$5:$C$10004="Gasto")+(MOVIMIENTOS!$C$5:$C$10004="Compra"))*(YEAR(MOVIMIENTOS!$B$5:$B$10004)=$B$3)*(MONTH(MOVIMIENTOS!$B$5:$B$10004)=1)*(MOVIMIENTOS!$P$5:$P$10004="Pagado")*MOVIMIENTOS!$O$5:$O$10004)</f>
        <v>0</v>
      </c>
      <c r="C8" s="21">
        <f>SUMPRODUCT((MOVIMIENTOS!$H$5:$H$10004=$A8)*((MOVIMIENTOS!$C$5:$C$10004="Gasto")+(MOVIMIENTOS!$C$5:$C$10004="Compra"))*(YEAR(MOVIMIENTOS!$B$5:$B$10004)=$B$3)*(MONTH(MOVIMIENTOS!$B$5:$B$10004)=2)*(MOVIMIENTOS!$P$5:$P$10004="Pagado")*MOVIMIENTOS!$O$5:$O$10004)</f>
        <v>0</v>
      </c>
      <c r="D8" s="21">
        <f>SUMPRODUCT((MOVIMIENTOS!$H$5:$H$10004=$A8)*((MOVIMIENTOS!$C$5:$C$10004="Gasto")+(MOVIMIENTOS!$C$5:$C$10004="Compra"))*(YEAR(MOVIMIENTOS!$B$5:$B$10004)=$B$3)*(MONTH(MOVIMIENTOS!$B$5:$B$10004)=3)*(MOVIMIENTOS!$P$5:$P$10004="Pagado")*MOVIMIENTOS!$O$5:$O$10004)</f>
        <v>0</v>
      </c>
      <c r="E8" s="21">
        <f>SUMPRODUCT((MOVIMIENTOS!$H$5:$H$10004=$A8)*((MOVIMIENTOS!$C$5:$C$10004="Gasto")+(MOVIMIENTOS!$C$5:$C$10004="Compra"))*(YEAR(MOVIMIENTOS!$B$5:$B$10004)=$B$3)*(MONTH(MOVIMIENTOS!$B$5:$B$10004)=4)*(MOVIMIENTOS!$P$5:$P$10004="Pagado")*MOVIMIENTOS!$O$5:$O$10004)</f>
        <v>0</v>
      </c>
      <c r="F8" s="21">
        <f>SUMPRODUCT((MOVIMIENTOS!$H$5:$H$10004=$A8)*((MOVIMIENTOS!$C$5:$C$10004="Gasto")+(MOVIMIENTOS!$C$5:$C$10004="Compra"))*(YEAR(MOVIMIENTOS!$B$5:$B$10004)=$B$3)*(MONTH(MOVIMIENTOS!$B$5:$B$10004)=5)*(MOVIMIENTOS!$P$5:$P$10004="Pagado")*MOVIMIENTOS!$O$5:$O$10004)</f>
        <v>0</v>
      </c>
      <c r="G8" s="21">
        <f>SUMPRODUCT((MOVIMIENTOS!$H$5:$H$10004=$A8)*((MOVIMIENTOS!$C$5:$C$10004="Gasto")+(MOVIMIENTOS!$C$5:$C$10004="Compra"))*(YEAR(MOVIMIENTOS!$B$5:$B$10004)=$B$3)*(MONTH(MOVIMIENTOS!$B$5:$B$10004)=6)*(MOVIMIENTOS!$P$5:$P$10004="Pagado")*MOVIMIENTOS!$O$5:$O$10004)</f>
        <v>0</v>
      </c>
      <c r="H8" s="21">
        <f>SUMPRODUCT((MOVIMIENTOS!$H$5:$H$10004=$A8)*((MOVIMIENTOS!$C$5:$C$10004="Gasto")+(MOVIMIENTOS!$C$5:$C$10004="Compra"))*(YEAR(MOVIMIENTOS!$B$5:$B$10004)=$B$3)*(MONTH(MOVIMIENTOS!$B$5:$B$10004)=7)*(MOVIMIENTOS!$P$5:$P$10004="Pagado")*MOVIMIENTOS!$O$5:$O$10004)</f>
        <v>0</v>
      </c>
      <c r="I8" s="21">
        <f>SUMPRODUCT((MOVIMIENTOS!$H$5:$H$10004=$A8)*((MOVIMIENTOS!$C$5:$C$10004="Gasto")+(MOVIMIENTOS!$C$5:$C$10004="Compra"))*(YEAR(MOVIMIENTOS!$B$5:$B$10004)=$B$3)*(MONTH(MOVIMIENTOS!$B$5:$B$10004)=8)*(MOVIMIENTOS!$P$5:$P$10004="Pagado")*MOVIMIENTOS!$O$5:$O$10004)</f>
        <v>0</v>
      </c>
      <c r="J8" s="21">
        <f>SUMPRODUCT((MOVIMIENTOS!$H$5:$H$10004=$A8)*((MOVIMIENTOS!$C$5:$C$10004="Gasto")+(MOVIMIENTOS!$C$5:$C$10004="Compra"))*(YEAR(MOVIMIENTOS!$B$5:$B$10004)=$B$3)*(MONTH(MOVIMIENTOS!$B$5:$B$10004)=9)*(MOVIMIENTOS!$P$5:$P$10004="Pagado")*MOVIMIENTOS!$O$5:$O$10004)</f>
        <v>0</v>
      </c>
      <c r="K8" s="21">
        <f>SUMPRODUCT((MOVIMIENTOS!$H$5:$H$10004=$A8)*((MOVIMIENTOS!$C$5:$C$10004="Gasto")+(MOVIMIENTOS!$C$5:$C$10004="Compra"))*(YEAR(MOVIMIENTOS!$B$5:$B$10004)=$B$3)*(MONTH(MOVIMIENTOS!$B$5:$B$10004)=10)*(MOVIMIENTOS!$P$5:$P$10004="Pagado")*MOVIMIENTOS!$O$5:$O$10004)</f>
        <v>0</v>
      </c>
      <c r="L8" s="21">
        <f>SUMPRODUCT((MOVIMIENTOS!$H$5:$H$10004=$A8)*((MOVIMIENTOS!$C$5:$C$10004="Gasto")+(MOVIMIENTOS!$C$5:$C$10004="Compra"))*(YEAR(MOVIMIENTOS!$B$5:$B$10004)=$B$3)*(MONTH(MOVIMIENTOS!$B$5:$B$10004)=11)*(MOVIMIENTOS!$P$5:$P$10004="Pagado")*MOVIMIENTOS!$O$5:$O$10004)</f>
        <v>0</v>
      </c>
      <c r="M8" s="21">
        <f>SUMPRODUCT((MOVIMIENTOS!$H$5:$H$10004=$A8)*((MOVIMIENTOS!$C$5:$C$10004="Gasto")+(MOVIMIENTOS!$C$5:$C$10004="Compra"))*(YEAR(MOVIMIENTOS!$B$5:$B$10004)=$B$3)*(MONTH(MOVIMIENTOS!$B$5:$B$10004)=12)*(MOVIMIENTOS!$P$5:$P$10004="Pagado")*MOVIMIENTOS!$O$5:$O$10004)</f>
        <v>0</v>
      </c>
      <c r="N8" s="21">
        <f>SUM(B8:M8)</f>
        <v>0</v>
      </c>
    </row>
    <row r="9" spans="1:14" x14ac:dyDescent="0.25">
      <c r="A9" t="s">
        <v>180</v>
      </c>
      <c r="B9" s="21">
        <f>SUMPRODUCT((MOVIMIENTOS!$H$5:$H$10004=$A9)*((MOVIMIENTOS!$C$5:$C$10004="Gasto")+(MOVIMIENTOS!$C$5:$C$10004="Compra"))*(YEAR(MOVIMIENTOS!$B$5:$B$10004)=$B$3)*(MONTH(MOVIMIENTOS!$B$5:$B$10004)=1)*(MOVIMIENTOS!$P$5:$P$10004="Pagado")*MOVIMIENTOS!$O$5:$O$10004)</f>
        <v>0</v>
      </c>
      <c r="C9" s="21">
        <f>SUMPRODUCT((MOVIMIENTOS!$H$5:$H$10004=$A9)*((MOVIMIENTOS!$C$5:$C$10004="Gasto")+(MOVIMIENTOS!$C$5:$C$10004="Compra"))*(YEAR(MOVIMIENTOS!$B$5:$B$10004)=$B$3)*(MONTH(MOVIMIENTOS!$B$5:$B$10004)=2)*(MOVIMIENTOS!$P$5:$P$10004="Pagado")*MOVIMIENTOS!$O$5:$O$10004)</f>
        <v>0</v>
      </c>
      <c r="D9" s="21">
        <f>SUMPRODUCT((MOVIMIENTOS!$H$5:$H$10004=$A9)*((MOVIMIENTOS!$C$5:$C$10004="Gasto")+(MOVIMIENTOS!$C$5:$C$10004="Compra"))*(YEAR(MOVIMIENTOS!$B$5:$B$10004)=$B$3)*(MONTH(MOVIMIENTOS!$B$5:$B$10004)=3)*(MOVIMIENTOS!$P$5:$P$10004="Pagado")*MOVIMIENTOS!$O$5:$O$10004)</f>
        <v>0</v>
      </c>
      <c r="E9" s="21">
        <f>SUMPRODUCT((MOVIMIENTOS!$H$5:$H$10004=$A9)*((MOVIMIENTOS!$C$5:$C$10004="Gasto")+(MOVIMIENTOS!$C$5:$C$10004="Compra"))*(YEAR(MOVIMIENTOS!$B$5:$B$10004)=$B$3)*(MONTH(MOVIMIENTOS!$B$5:$B$10004)=4)*(MOVIMIENTOS!$P$5:$P$10004="Pagado")*MOVIMIENTOS!$O$5:$O$10004)</f>
        <v>0</v>
      </c>
      <c r="F9" s="21">
        <f>SUMPRODUCT((MOVIMIENTOS!$H$5:$H$10004=$A9)*((MOVIMIENTOS!$C$5:$C$10004="Gasto")+(MOVIMIENTOS!$C$5:$C$10004="Compra"))*(YEAR(MOVIMIENTOS!$B$5:$B$10004)=$B$3)*(MONTH(MOVIMIENTOS!$B$5:$B$10004)=5)*(MOVIMIENTOS!$P$5:$P$10004="Pagado")*MOVIMIENTOS!$O$5:$O$10004)</f>
        <v>0</v>
      </c>
      <c r="G9" s="21">
        <f>SUMPRODUCT((MOVIMIENTOS!$H$5:$H$10004=$A9)*((MOVIMIENTOS!$C$5:$C$10004="Gasto")+(MOVIMIENTOS!$C$5:$C$10004="Compra"))*(YEAR(MOVIMIENTOS!$B$5:$B$10004)=$B$3)*(MONTH(MOVIMIENTOS!$B$5:$B$10004)=6)*(MOVIMIENTOS!$P$5:$P$10004="Pagado")*MOVIMIENTOS!$O$5:$O$10004)</f>
        <v>0</v>
      </c>
      <c r="H9" s="21">
        <f>SUMPRODUCT((MOVIMIENTOS!$H$5:$H$10004=$A9)*((MOVIMIENTOS!$C$5:$C$10004="Gasto")+(MOVIMIENTOS!$C$5:$C$10004="Compra"))*(YEAR(MOVIMIENTOS!$B$5:$B$10004)=$B$3)*(MONTH(MOVIMIENTOS!$B$5:$B$10004)=7)*(MOVIMIENTOS!$P$5:$P$10004="Pagado")*MOVIMIENTOS!$O$5:$O$10004)</f>
        <v>0</v>
      </c>
      <c r="I9" s="21">
        <f>SUMPRODUCT((MOVIMIENTOS!$H$5:$H$10004=$A9)*((MOVIMIENTOS!$C$5:$C$10004="Gasto")+(MOVIMIENTOS!$C$5:$C$10004="Compra"))*(YEAR(MOVIMIENTOS!$B$5:$B$10004)=$B$3)*(MONTH(MOVIMIENTOS!$B$5:$B$10004)=8)*(MOVIMIENTOS!$P$5:$P$10004="Pagado")*MOVIMIENTOS!$O$5:$O$10004)</f>
        <v>0</v>
      </c>
      <c r="J9" s="21">
        <f>SUMPRODUCT((MOVIMIENTOS!$H$5:$H$10004=$A9)*((MOVIMIENTOS!$C$5:$C$10004="Gasto")+(MOVIMIENTOS!$C$5:$C$10004="Compra"))*(YEAR(MOVIMIENTOS!$B$5:$B$10004)=$B$3)*(MONTH(MOVIMIENTOS!$B$5:$B$10004)=9)*(MOVIMIENTOS!$P$5:$P$10004="Pagado")*MOVIMIENTOS!$O$5:$O$10004)</f>
        <v>0</v>
      </c>
      <c r="K9" s="21">
        <f>SUMPRODUCT((MOVIMIENTOS!$H$5:$H$10004=$A9)*((MOVIMIENTOS!$C$5:$C$10004="Gasto")+(MOVIMIENTOS!$C$5:$C$10004="Compra"))*(YEAR(MOVIMIENTOS!$B$5:$B$10004)=$B$3)*(MONTH(MOVIMIENTOS!$B$5:$B$10004)=10)*(MOVIMIENTOS!$P$5:$P$10004="Pagado")*MOVIMIENTOS!$O$5:$O$10004)</f>
        <v>0</v>
      </c>
      <c r="L9" s="21">
        <f>SUMPRODUCT((MOVIMIENTOS!$H$5:$H$10004=$A9)*((MOVIMIENTOS!$C$5:$C$10004="Gasto")+(MOVIMIENTOS!$C$5:$C$10004="Compra"))*(YEAR(MOVIMIENTOS!$B$5:$B$10004)=$B$3)*(MONTH(MOVIMIENTOS!$B$5:$B$10004)=11)*(MOVIMIENTOS!$P$5:$P$10004="Pagado")*MOVIMIENTOS!$O$5:$O$10004)</f>
        <v>0</v>
      </c>
      <c r="M9" s="21">
        <f>SUMPRODUCT((MOVIMIENTOS!$H$5:$H$10004=$A9)*((MOVIMIENTOS!$C$5:$C$10004="Gasto")+(MOVIMIENTOS!$C$5:$C$10004="Compra"))*(YEAR(MOVIMIENTOS!$B$5:$B$10004)=$B$3)*(MONTH(MOVIMIENTOS!$B$5:$B$10004)=12)*(MOVIMIENTOS!$P$5:$P$10004="Pagado")*MOVIMIENTOS!$O$5:$O$10004)</f>
        <v>0</v>
      </c>
      <c r="N9" s="21">
        <f>SUM(B9:M9)</f>
        <v>0</v>
      </c>
    </row>
    <row r="10" spans="1:14" x14ac:dyDescent="0.25">
      <c r="A10" s="6" t="s">
        <v>427</v>
      </c>
      <c r="B10" s="31">
        <f t="shared" ref="B10:N10" si="0">SUM(B5:B9)</f>
        <v>0</v>
      </c>
      <c r="C10" s="31">
        <f t="shared" si="0"/>
        <v>0</v>
      </c>
      <c r="D10" s="31">
        <f t="shared" si="0"/>
        <v>0</v>
      </c>
      <c r="E10" s="31">
        <f t="shared" si="0"/>
        <v>0</v>
      </c>
      <c r="F10" s="31">
        <f t="shared" si="0"/>
        <v>0</v>
      </c>
      <c r="G10" s="31">
        <f t="shared" si="0"/>
        <v>0</v>
      </c>
      <c r="H10" s="31">
        <f t="shared" si="0"/>
        <v>0</v>
      </c>
      <c r="I10" s="31">
        <f t="shared" si="0"/>
        <v>0</v>
      </c>
      <c r="J10" s="31">
        <f t="shared" si="0"/>
        <v>0</v>
      </c>
      <c r="K10" s="31">
        <f t="shared" si="0"/>
        <v>0</v>
      </c>
      <c r="L10" s="31">
        <f t="shared" si="0"/>
        <v>0</v>
      </c>
      <c r="M10" s="31">
        <f t="shared" si="0"/>
        <v>0</v>
      </c>
      <c r="N10" s="31">
        <f t="shared" si="0"/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7791F"/>
  </sheetPr>
  <dimension ref="A1:E16"/>
  <sheetViews>
    <sheetView workbookViewId="0"/>
  </sheetViews>
  <sheetFormatPr baseColWidth="10" defaultColWidth="9.140625" defaultRowHeight="15" x14ac:dyDescent="0.25"/>
  <cols>
    <col min="1" max="3" width="12" customWidth="1"/>
    <col min="4" max="4" width="24" customWidth="1"/>
    <col min="5" max="5" width="21" customWidth="1"/>
  </cols>
  <sheetData>
    <row r="1" spans="1:5" ht="21" x14ac:dyDescent="0.35">
      <c r="A1" s="1" t="s">
        <v>430</v>
      </c>
    </row>
    <row r="2" spans="1:5" x14ac:dyDescent="0.25">
      <c r="A2" s="2" t="s">
        <v>431</v>
      </c>
    </row>
    <row r="3" spans="1:5" x14ac:dyDescent="0.25">
      <c r="A3" t="s">
        <v>414</v>
      </c>
      <c r="B3" s="29">
        <v>2026</v>
      </c>
    </row>
    <row r="4" spans="1:5" ht="27.95" customHeight="1" x14ac:dyDescent="0.25">
      <c r="A4" s="30" t="s">
        <v>432</v>
      </c>
      <c r="B4" s="30" t="s">
        <v>433</v>
      </c>
      <c r="C4" s="30" t="s">
        <v>434</v>
      </c>
      <c r="D4" s="30" t="s">
        <v>435</v>
      </c>
      <c r="E4" s="30" t="s">
        <v>436</v>
      </c>
    </row>
    <row r="5" spans="1:5" x14ac:dyDescent="0.25">
      <c r="A5" t="s">
        <v>111</v>
      </c>
      <c r="B5" s="21">
        <f>SUMPRODUCT((YEAR('COBROS'!$B$5:$B$10004)=$B$3)*(MONTH('COBROS'!$B$5:$B$10004)=1)*('COBROS'!$H$5:$H$10004="Aplicado")*'COBROS'!$G$5:$G$10004)</f>
        <v>0</v>
      </c>
      <c r="C5" s="21">
        <f>SUMPRODUCT((YEAR(PAGOS!$B$5:$B$10004)=$B$3)*(MONTH(PAGOS!$B$5:$B$10004)=1)*(PAGOS!$H$5:$H$10004="Aplicado")*PAGOS!$G$5:$G$10004)</f>
        <v>0</v>
      </c>
      <c r="D5" s="21">
        <f t="shared" ref="D5:D16" si="0">B5-C5</f>
        <v>0</v>
      </c>
      <c r="E5" s="21">
        <f>D5</f>
        <v>0</v>
      </c>
    </row>
    <row r="6" spans="1:5" x14ac:dyDescent="0.25">
      <c r="A6" t="s">
        <v>437</v>
      </c>
      <c r="B6" s="21">
        <f>SUMPRODUCT((YEAR('COBROS'!$B$5:$B$10004)=$B$3)*(MONTH('COBROS'!$B$5:$B$10004)=2)*('COBROS'!$H$5:$H$10004="Aplicado")*'COBROS'!$G$5:$G$10004)</f>
        <v>0</v>
      </c>
      <c r="C6" s="21">
        <f>SUMPRODUCT((YEAR(PAGOS!$B$5:$B$10004)=$B$3)*(MONTH(PAGOS!$B$5:$B$10004)=2)*(PAGOS!$H$5:$H$10004="Aplicado")*PAGOS!$G$5:$G$10004)</f>
        <v>0</v>
      </c>
      <c r="D6" s="21">
        <f t="shared" si="0"/>
        <v>0</v>
      </c>
      <c r="E6" s="21">
        <f t="shared" ref="E6:E16" si="1">E5+D6</f>
        <v>0</v>
      </c>
    </row>
    <row r="7" spans="1:5" x14ac:dyDescent="0.25">
      <c r="A7" t="s">
        <v>438</v>
      </c>
      <c r="B7" s="21">
        <f>SUMPRODUCT((YEAR('COBROS'!$B$5:$B$10004)=$B$3)*(MONTH('COBROS'!$B$5:$B$10004)=3)*('COBROS'!$H$5:$H$10004="Aplicado")*'COBROS'!$G$5:$G$10004)</f>
        <v>0</v>
      </c>
      <c r="C7" s="21">
        <f>SUMPRODUCT((YEAR(PAGOS!$B$5:$B$10004)=$B$3)*(MONTH(PAGOS!$B$5:$B$10004)=3)*(PAGOS!$H$5:$H$10004="Aplicado")*PAGOS!$G$5:$G$10004)</f>
        <v>0</v>
      </c>
      <c r="D7" s="21">
        <f t="shared" si="0"/>
        <v>0</v>
      </c>
      <c r="E7" s="21">
        <f t="shared" si="1"/>
        <v>0</v>
      </c>
    </row>
    <row r="8" spans="1:5" x14ac:dyDescent="0.25">
      <c r="A8" t="s">
        <v>439</v>
      </c>
      <c r="B8" s="21">
        <f>SUMPRODUCT((YEAR('COBROS'!$B$5:$B$10004)=$B$3)*(MONTH('COBROS'!$B$5:$B$10004)=4)*('COBROS'!$H$5:$H$10004="Aplicado")*'COBROS'!$G$5:$G$10004)</f>
        <v>0</v>
      </c>
      <c r="C8" s="21">
        <f>SUMPRODUCT((YEAR(PAGOS!$B$5:$B$10004)=$B$3)*(MONTH(PAGOS!$B$5:$B$10004)=4)*(PAGOS!$H$5:$H$10004="Aplicado")*PAGOS!$G$5:$G$10004)</f>
        <v>0</v>
      </c>
      <c r="D8" s="21">
        <f t="shared" si="0"/>
        <v>0</v>
      </c>
      <c r="E8" s="21">
        <f t="shared" si="1"/>
        <v>0</v>
      </c>
    </row>
    <row r="9" spans="1:5" x14ac:dyDescent="0.25">
      <c r="A9" t="s">
        <v>440</v>
      </c>
      <c r="B9" s="21">
        <f>SUMPRODUCT((YEAR('COBROS'!$B$5:$B$10004)=$B$3)*(MONTH('COBROS'!$B$5:$B$10004)=5)*('COBROS'!$H$5:$H$10004="Aplicado")*'COBROS'!$G$5:$G$10004)</f>
        <v>0</v>
      </c>
      <c r="C9" s="21">
        <f>SUMPRODUCT((YEAR(PAGOS!$B$5:$B$10004)=$B$3)*(MONTH(PAGOS!$B$5:$B$10004)=5)*(PAGOS!$H$5:$H$10004="Aplicado")*PAGOS!$G$5:$G$10004)</f>
        <v>0</v>
      </c>
      <c r="D9" s="21">
        <f t="shared" si="0"/>
        <v>0</v>
      </c>
      <c r="E9" s="21">
        <f t="shared" si="1"/>
        <v>0</v>
      </c>
    </row>
    <row r="10" spans="1:5" x14ac:dyDescent="0.25">
      <c r="A10" t="s">
        <v>441</v>
      </c>
      <c r="B10" s="21">
        <f>SUMPRODUCT((YEAR('COBROS'!$B$5:$B$10004)=$B$3)*(MONTH('COBROS'!$B$5:$B$10004)=6)*('COBROS'!$H$5:$H$10004="Aplicado")*'COBROS'!$G$5:$G$10004)</f>
        <v>0</v>
      </c>
      <c r="C10" s="21">
        <f>SUMPRODUCT((YEAR(PAGOS!$B$5:$B$10004)=$B$3)*(MONTH(PAGOS!$B$5:$B$10004)=6)*(PAGOS!$H$5:$H$10004="Aplicado")*PAGOS!$G$5:$G$10004)</f>
        <v>0</v>
      </c>
      <c r="D10" s="21">
        <f t="shared" si="0"/>
        <v>0</v>
      </c>
      <c r="E10" s="21">
        <f t="shared" si="1"/>
        <v>0</v>
      </c>
    </row>
    <row r="11" spans="1:5" x14ac:dyDescent="0.25">
      <c r="A11" t="s">
        <v>442</v>
      </c>
      <c r="B11" s="21">
        <f>SUMPRODUCT((YEAR('COBROS'!$B$5:$B$10004)=$B$3)*(MONTH('COBROS'!$B$5:$B$10004)=7)*('COBROS'!$H$5:$H$10004="Aplicado")*'COBROS'!$G$5:$G$10004)</f>
        <v>0</v>
      </c>
      <c r="C11" s="21">
        <f>SUMPRODUCT((YEAR(PAGOS!$B$5:$B$10004)=$B$3)*(MONTH(PAGOS!$B$5:$B$10004)=7)*(PAGOS!$H$5:$H$10004="Aplicado")*PAGOS!$G$5:$G$10004)</f>
        <v>0</v>
      </c>
      <c r="D11" s="21">
        <f t="shared" si="0"/>
        <v>0</v>
      </c>
      <c r="E11" s="21">
        <f t="shared" si="1"/>
        <v>0</v>
      </c>
    </row>
    <row r="12" spans="1:5" x14ac:dyDescent="0.25">
      <c r="A12" t="s">
        <v>443</v>
      </c>
      <c r="B12" s="21">
        <f>SUMPRODUCT((YEAR('COBROS'!$B$5:$B$10004)=$B$3)*(MONTH('COBROS'!$B$5:$B$10004)=8)*('COBROS'!$H$5:$H$10004="Aplicado")*'COBROS'!$G$5:$G$10004)</f>
        <v>0</v>
      </c>
      <c r="C12" s="21">
        <f>SUMPRODUCT((YEAR(PAGOS!$B$5:$B$10004)=$B$3)*(MONTH(PAGOS!$B$5:$B$10004)=8)*(PAGOS!$H$5:$H$10004="Aplicado")*PAGOS!$G$5:$G$10004)</f>
        <v>0</v>
      </c>
      <c r="D12" s="21">
        <f t="shared" si="0"/>
        <v>0</v>
      </c>
      <c r="E12" s="21">
        <f t="shared" si="1"/>
        <v>0</v>
      </c>
    </row>
    <row r="13" spans="1:5" x14ac:dyDescent="0.25">
      <c r="A13" t="s">
        <v>444</v>
      </c>
      <c r="B13" s="21">
        <f>SUMPRODUCT((YEAR('COBROS'!$B$5:$B$10004)=$B$3)*(MONTH('COBROS'!$B$5:$B$10004)=9)*('COBROS'!$H$5:$H$10004="Aplicado")*'COBROS'!$G$5:$G$10004)</f>
        <v>0</v>
      </c>
      <c r="C13" s="21">
        <f>SUMPRODUCT((YEAR(PAGOS!$B$5:$B$10004)=$B$3)*(MONTH(PAGOS!$B$5:$B$10004)=9)*(PAGOS!$H$5:$H$10004="Aplicado")*PAGOS!$G$5:$G$10004)</f>
        <v>0</v>
      </c>
      <c r="D13" s="21">
        <f t="shared" si="0"/>
        <v>0</v>
      </c>
      <c r="E13" s="21">
        <f t="shared" si="1"/>
        <v>0</v>
      </c>
    </row>
    <row r="14" spans="1:5" x14ac:dyDescent="0.25">
      <c r="A14" t="s">
        <v>445</v>
      </c>
      <c r="B14" s="21">
        <f>SUMPRODUCT((YEAR('COBROS'!$B$5:$B$10004)=$B$3)*(MONTH('COBROS'!$B$5:$B$10004)=10)*('COBROS'!$H$5:$H$10004="Aplicado")*'COBROS'!$G$5:$G$10004)</f>
        <v>0</v>
      </c>
      <c r="C14" s="21">
        <f>SUMPRODUCT((YEAR(PAGOS!$B$5:$B$10004)=$B$3)*(MONTH(PAGOS!$B$5:$B$10004)=10)*(PAGOS!$H$5:$H$10004="Aplicado")*PAGOS!$G$5:$G$10004)</f>
        <v>0</v>
      </c>
      <c r="D14" s="21">
        <f t="shared" si="0"/>
        <v>0</v>
      </c>
      <c r="E14" s="21">
        <f t="shared" si="1"/>
        <v>0</v>
      </c>
    </row>
    <row r="15" spans="1:5" x14ac:dyDescent="0.25">
      <c r="A15" t="s">
        <v>446</v>
      </c>
      <c r="B15" s="21">
        <f>SUMPRODUCT((YEAR('COBROS'!$B$5:$B$10004)=$B$3)*(MONTH('COBROS'!$B$5:$B$10004)=11)*('COBROS'!$H$5:$H$10004="Aplicado")*'COBROS'!$G$5:$G$10004)</f>
        <v>0</v>
      </c>
      <c r="C15" s="21">
        <f>SUMPRODUCT((YEAR(PAGOS!$B$5:$B$10004)=$B$3)*(MONTH(PAGOS!$B$5:$B$10004)=11)*(PAGOS!$H$5:$H$10004="Aplicado")*PAGOS!$G$5:$G$10004)</f>
        <v>0</v>
      </c>
      <c r="D15" s="21">
        <f t="shared" si="0"/>
        <v>0</v>
      </c>
      <c r="E15" s="21">
        <f t="shared" si="1"/>
        <v>0</v>
      </c>
    </row>
    <row r="16" spans="1:5" x14ac:dyDescent="0.25">
      <c r="A16" t="s">
        <v>447</v>
      </c>
      <c r="B16" s="21">
        <f>SUMPRODUCT((YEAR('COBROS'!$B$5:$B$10004)=$B$3)*(MONTH('COBROS'!$B$5:$B$10004)=12)*('COBROS'!$H$5:$H$10004="Aplicado")*'COBROS'!$G$5:$G$10004)</f>
        <v>0</v>
      </c>
      <c r="C16" s="21">
        <f>SUMPRODUCT((YEAR(PAGOS!$B$5:$B$10004)=$B$3)*(MONTH(PAGOS!$B$5:$B$10004)=12)*(PAGOS!$H$5:$H$10004="Aplicado")*PAGOS!$G$5:$G$10004)</f>
        <v>0</v>
      </c>
      <c r="D16" s="21">
        <f t="shared" si="0"/>
        <v>0</v>
      </c>
      <c r="E16" s="21">
        <f t="shared" si="1"/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7791F"/>
  </sheetPr>
  <dimension ref="A1:G5"/>
  <sheetViews>
    <sheetView workbookViewId="0"/>
  </sheetViews>
  <sheetFormatPr baseColWidth="10" defaultColWidth="9.140625"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17" customWidth="1"/>
    <col min="7" max="7" width="12" customWidth="1"/>
  </cols>
  <sheetData>
    <row r="1" spans="1:7" ht="21" x14ac:dyDescent="0.35">
      <c r="A1" s="1" t="s">
        <v>448</v>
      </c>
    </row>
    <row r="2" spans="1:7" x14ac:dyDescent="0.25">
      <c r="A2" s="2" t="s">
        <v>449</v>
      </c>
    </row>
    <row r="4" spans="1:7" x14ac:dyDescent="0.25">
      <c r="A4" t="s">
        <v>289</v>
      </c>
      <c r="B4" t="s">
        <v>311</v>
      </c>
      <c r="C4" t="s">
        <v>312</v>
      </c>
      <c r="D4" t="s">
        <v>259</v>
      </c>
      <c r="E4" t="s">
        <v>316</v>
      </c>
      <c r="F4" t="s">
        <v>450</v>
      </c>
      <c r="G4" t="s">
        <v>248</v>
      </c>
    </row>
    <row r="5" spans="1:7" x14ac:dyDescent="0.25">
      <c r="A5" s="36" t="s">
        <v>451</v>
      </c>
      <c r="B5" s="33"/>
      <c r="C5" s="33"/>
      <c r="D5" s="33"/>
      <c r="E5" s="33"/>
      <c r="F5" s="33"/>
      <c r="G5" s="33"/>
    </row>
  </sheetData>
  <mergeCells count="1">
    <mergeCell ref="A5:G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B7791F"/>
  </sheetPr>
  <dimension ref="A1:G5"/>
  <sheetViews>
    <sheetView workbookViewId="0"/>
  </sheetViews>
  <sheetFormatPr baseColWidth="10" defaultColWidth="9.140625" defaultRowHeight="15" x14ac:dyDescent="0.25"/>
  <cols>
    <col min="1" max="2" width="12" customWidth="1"/>
    <col min="3" max="3" width="13" customWidth="1"/>
    <col min="4" max="4" width="15" customWidth="1"/>
    <col min="5" max="5" width="12" customWidth="1"/>
    <col min="6" max="6" width="17" customWidth="1"/>
    <col min="7" max="7" width="12" customWidth="1"/>
  </cols>
  <sheetData>
    <row r="1" spans="1:7" ht="21" x14ac:dyDescent="0.35">
      <c r="A1" s="1" t="s">
        <v>452</v>
      </c>
    </row>
    <row r="2" spans="1:7" x14ac:dyDescent="0.25">
      <c r="A2" s="2" t="s">
        <v>453</v>
      </c>
    </row>
    <row r="4" spans="1:7" x14ac:dyDescent="0.25">
      <c r="A4" t="s">
        <v>289</v>
      </c>
      <c r="B4" t="s">
        <v>311</v>
      </c>
      <c r="C4" t="s">
        <v>312</v>
      </c>
      <c r="D4" t="s">
        <v>259</v>
      </c>
      <c r="E4" t="s">
        <v>316</v>
      </c>
      <c r="F4" t="s">
        <v>450</v>
      </c>
      <c r="G4" t="s">
        <v>248</v>
      </c>
    </row>
    <row r="5" spans="1:7" x14ac:dyDescent="0.25">
      <c r="A5" s="36" t="s">
        <v>451</v>
      </c>
      <c r="B5" s="33"/>
      <c r="C5" s="33"/>
      <c r="D5" s="33"/>
      <c r="E5" s="33"/>
      <c r="F5" s="33"/>
      <c r="G5" s="33"/>
    </row>
  </sheetData>
  <mergeCells count="1">
    <mergeCell ref="A5:G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B7791F"/>
  </sheetPr>
  <dimension ref="A1:E16"/>
  <sheetViews>
    <sheetView workbookViewId="0"/>
  </sheetViews>
  <sheetFormatPr baseColWidth="10" defaultColWidth="9.140625" defaultRowHeight="15" x14ac:dyDescent="0.25"/>
  <cols>
    <col min="1" max="1" width="12" customWidth="1"/>
    <col min="2" max="5" width="24" customWidth="1"/>
  </cols>
  <sheetData>
    <row r="1" spans="1:5" ht="21" x14ac:dyDescent="0.35">
      <c r="A1" s="1" t="s">
        <v>454</v>
      </c>
    </row>
    <row r="2" spans="1:5" x14ac:dyDescent="0.25">
      <c r="A2" s="2" t="s">
        <v>455</v>
      </c>
    </row>
    <row r="3" spans="1:5" x14ac:dyDescent="0.25">
      <c r="A3" t="s">
        <v>414</v>
      </c>
      <c r="B3" s="29">
        <v>2026</v>
      </c>
    </row>
    <row r="4" spans="1:5" ht="27.95" customHeight="1" x14ac:dyDescent="0.25">
      <c r="A4" s="30" t="s">
        <v>432</v>
      </c>
      <c r="B4" s="30" t="s">
        <v>456</v>
      </c>
      <c r="C4" s="30" t="s">
        <v>457</v>
      </c>
      <c r="D4" s="30" t="s">
        <v>458</v>
      </c>
      <c r="E4" s="30" t="s">
        <v>459</v>
      </c>
    </row>
    <row r="5" spans="1:5" x14ac:dyDescent="0.25">
      <c r="A5" t="s">
        <v>111</v>
      </c>
      <c r="B5" s="21">
        <f>SUMPRODUCT((YEAR(MOVIMIENTOS!$B$5:$B$10004)=$B$3)*(MONTH(MOVIMIENTOS!$B$5:$B$10004)=1)*((MOVIMIENTOS!$C$5:$C$10004="Ingreso")+(MOVIMIENTOS!$C$5:$C$10004="Venta"))*MOVIMIENTOS!$M$5:$M$10004)</f>
        <v>0</v>
      </c>
      <c r="C5" s="21">
        <f>SUMPRODUCT((YEAR(MOVIMIENTOS!$B$5:$B$10004)=$B$3)*(MONTH(MOVIMIENTOS!$B$5:$B$10004)=1)*((MOVIMIENTOS!$C$5:$C$10004="Gasto")+(MOVIMIENTOS!$C$5:$C$10004="Compra"))*MOVIMIENTOS!$M$5:$M$10004)</f>
        <v>0</v>
      </c>
      <c r="D5" s="21">
        <f>SUMPRODUCT((YEAR(MOVIMIENTOS!$B$5:$B$10004)=$B$3)*(MONTH(MOVIMIENTOS!$B$5:$B$10004)=1)*((MOVIMIENTOS!$C$5:$C$10004="Gasto")+(MOVIMIENTOS!$C$5:$C$10004="Compra"))*MOVIMIENTOS!$N$5:$N$10004)</f>
        <v>0</v>
      </c>
      <c r="E5" s="21">
        <f>SUMPRODUCT((YEAR(MOVIMIENTOS!$B$5:$B$10004)=$B$3)*(MONTH(MOVIMIENTOS!$B$5:$B$10004)=1)*((MOVIMIENTOS!$C$5:$C$10004="Ingreso")+(MOVIMIENTOS!$C$5:$C$10004="Venta"))*MOVIMIENTOS!$N$5:$N$10004)</f>
        <v>0</v>
      </c>
    </row>
    <row r="6" spans="1:5" x14ac:dyDescent="0.25">
      <c r="A6" t="s">
        <v>437</v>
      </c>
      <c r="B6" s="21">
        <f>SUMPRODUCT((YEAR(MOVIMIENTOS!$B$5:$B$10004)=$B$3)*(MONTH(MOVIMIENTOS!$B$5:$B$10004)=2)*((MOVIMIENTOS!$C$5:$C$10004="Ingreso")+(MOVIMIENTOS!$C$5:$C$10004="Venta"))*MOVIMIENTOS!$M$5:$M$10004)</f>
        <v>0</v>
      </c>
      <c r="C6" s="21">
        <f>SUMPRODUCT((YEAR(MOVIMIENTOS!$B$5:$B$10004)=$B$3)*(MONTH(MOVIMIENTOS!$B$5:$B$10004)=2)*((MOVIMIENTOS!$C$5:$C$10004="Gasto")+(MOVIMIENTOS!$C$5:$C$10004="Compra"))*MOVIMIENTOS!$M$5:$M$10004)</f>
        <v>0</v>
      </c>
      <c r="D6" s="21">
        <f>SUMPRODUCT((YEAR(MOVIMIENTOS!$B$5:$B$10004)=$B$3)*(MONTH(MOVIMIENTOS!$B$5:$B$10004)=2)*((MOVIMIENTOS!$C$5:$C$10004="Gasto")+(MOVIMIENTOS!$C$5:$C$10004="Compra"))*MOVIMIENTOS!$N$5:$N$10004)</f>
        <v>0</v>
      </c>
      <c r="E6" s="21">
        <f>SUMPRODUCT((YEAR(MOVIMIENTOS!$B$5:$B$10004)=$B$3)*(MONTH(MOVIMIENTOS!$B$5:$B$10004)=2)*((MOVIMIENTOS!$C$5:$C$10004="Ingreso")+(MOVIMIENTOS!$C$5:$C$10004="Venta"))*MOVIMIENTOS!$N$5:$N$10004)</f>
        <v>0</v>
      </c>
    </row>
    <row r="7" spans="1:5" x14ac:dyDescent="0.25">
      <c r="A7" t="s">
        <v>438</v>
      </c>
      <c r="B7" s="21">
        <f>SUMPRODUCT((YEAR(MOVIMIENTOS!$B$5:$B$10004)=$B$3)*(MONTH(MOVIMIENTOS!$B$5:$B$10004)=3)*((MOVIMIENTOS!$C$5:$C$10004="Ingreso")+(MOVIMIENTOS!$C$5:$C$10004="Venta"))*MOVIMIENTOS!$M$5:$M$10004)</f>
        <v>0</v>
      </c>
      <c r="C7" s="21">
        <f>SUMPRODUCT((YEAR(MOVIMIENTOS!$B$5:$B$10004)=$B$3)*(MONTH(MOVIMIENTOS!$B$5:$B$10004)=3)*((MOVIMIENTOS!$C$5:$C$10004="Gasto")+(MOVIMIENTOS!$C$5:$C$10004="Compra"))*MOVIMIENTOS!$M$5:$M$10004)</f>
        <v>0</v>
      </c>
      <c r="D7" s="21">
        <f>SUMPRODUCT((YEAR(MOVIMIENTOS!$B$5:$B$10004)=$B$3)*(MONTH(MOVIMIENTOS!$B$5:$B$10004)=3)*((MOVIMIENTOS!$C$5:$C$10004="Gasto")+(MOVIMIENTOS!$C$5:$C$10004="Compra"))*MOVIMIENTOS!$N$5:$N$10004)</f>
        <v>0</v>
      </c>
      <c r="E7" s="21">
        <f>SUMPRODUCT((YEAR(MOVIMIENTOS!$B$5:$B$10004)=$B$3)*(MONTH(MOVIMIENTOS!$B$5:$B$10004)=3)*((MOVIMIENTOS!$C$5:$C$10004="Ingreso")+(MOVIMIENTOS!$C$5:$C$10004="Venta"))*MOVIMIENTOS!$N$5:$N$10004)</f>
        <v>0</v>
      </c>
    </row>
    <row r="8" spans="1:5" x14ac:dyDescent="0.25">
      <c r="A8" t="s">
        <v>439</v>
      </c>
      <c r="B8" s="21">
        <f>SUMPRODUCT((YEAR(MOVIMIENTOS!$B$5:$B$10004)=$B$3)*(MONTH(MOVIMIENTOS!$B$5:$B$10004)=4)*((MOVIMIENTOS!$C$5:$C$10004="Ingreso")+(MOVIMIENTOS!$C$5:$C$10004="Venta"))*MOVIMIENTOS!$M$5:$M$10004)</f>
        <v>0</v>
      </c>
      <c r="C8" s="21">
        <f>SUMPRODUCT((YEAR(MOVIMIENTOS!$B$5:$B$10004)=$B$3)*(MONTH(MOVIMIENTOS!$B$5:$B$10004)=4)*((MOVIMIENTOS!$C$5:$C$10004="Gasto")+(MOVIMIENTOS!$C$5:$C$10004="Compra"))*MOVIMIENTOS!$M$5:$M$10004)</f>
        <v>0</v>
      </c>
      <c r="D8" s="21">
        <f>SUMPRODUCT((YEAR(MOVIMIENTOS!$B$5:$B$10004)=$B$3)*(MONTH(MOVIMIENTOS!$B$5:$B$10004)=4)*((MOVIMIENTOS!$C$5:$C$10004="Gasto")+(MOVIMIENTOS!$C$5:$C$10004="Compra"))*MOVIMIENTOS!$N$5:$N$10004)</f>
        <v>0</v>
      </c>
      <c r="E8" s="21">
        <f>SUMPRODUCT((YEAR(MOVIMIENTOS!$B$5:$B$10004)=$B$3)*(MONTH(MOVIMIENTOS!$B$5:$B$10004)=4)*((MOVIMIENTOS!$C$5:$C$10004="Ingreso")+(MOVIMIENTOS!$C$5:$C$10004="Venta"))*MOVIMIENTOS!$N$5:$N$10004)</f>
        <v>0</v>
      </c>
    </row>
    <row r="9" spans="1:5" x14ac:dyDescent="0.25">
      <c r="A9" t="s">
        <v>440</v>
      </c>
      <c r="B9" s="21">
        <f>SUMPRODUCT((YEAR(MOVIMIENTOS!$B$5:$B$10004)=$B$3)*(MONTH(MOVIMIENTOS!$B$5:$B$10004)=5)*((MOVIMIENTOS!$C$5:$C$10004="Ingreso")+(MOVIMIENTOS!$C$5:$C$10004="Venta"))*MOVIMIENTOS!$M$5:$M$10004)</f>
        <v>0</v>
      </c>
      <c r="C9" s="21">
        <f>SUMPRODUCT((YEAR(MOVIMIENTOS!$B$5:$B$10004)=$B$3)*(MONTH(MOVIMIENTOS!$B$5:$B$10004)=5)*((MOVIMIENTOS!$C$5:$C$10004="Gasto")+(MOVIMIENTOS!$C$5:$C$10004="Compra"))*MOVIMIENTOS!$M$5:$M$10004)</f>
        <v>0</v>
      </c>
      <c r="D9" s="21">
        <f>SUMPRODUCT((YEAR(MOVIMIENTOS!$B$5:$B$10004)=$B$3)*(MONTH(MOVIMIENTOS!$B$5:$B$10004)=5)*((MOVIMIENTOS!$C$5:$C$10004="Gasto")+(MOVIMIENTOS!$C$5:$C$10004="Compra"))*MOVIMIENTOS!$N$5:$N$10004)</f>
        <v>0</v>
      </c>
      <c r="E9" s="21">
        <f>SUMPRODUCT((YEAR(MOVIMIENTOS!$B$5:$B$10004)=$B$3)*(MONTH(MOVIMIENTOS!$B$5:$B$10004)=5)*((MOVIMIENTOS!$C$5:$C$10004="Ingreso")+(MOVIMIENTOS!$C$5:$C$10004="Venta"))*MOVIMIENTOS!$N$5:$N$10004)</f>
        <v>0</v>
      </c>
    </row>
    <row r="10" spans="1:5" x14ac:dyDescent="0.25">
      <c r="A10" t="s">
        <v>441</v>
      </c>
      <c r="B10" s="21">
        <f>SUMPRODUCT((YEAR(MOVIMIENTOS!$B$5:$B$10004)=$B$3)*(MONTH(MOVIMIENTOS!$B$5:$B$10004)=6)*((MOVIMIENTOS!$C$5:$C$10004="Ingreso")+(MOVIMIENTOS!$C$5:$C$10004="Venta"))*MOVIMIENTOS!$M$5:$M$10004)</f>
        <v>0</v>
      </c>
      <c r="C10" s="21">
        <f>SUMPRODUCT((YEAR(MOVIMIENTOS!$B$5:$B$10004)=$B$3)*(MONTH(MOVIMIENTOS!$B$5:$B$10004)=6)*((MOVIMIENTOS!$C$5:$C$10004="Gasto")+(MOVIMIENTOS!$C$5:$C$10004="Compra"))*MOVIMIENTOS!$M$5:$M$10004)</f>
        <v>0</v>
      </c>
      <c r="D10" s="21">
        <f>SUMPRODUCT((YEAR(MOVIMIENTOS!$B$5:$B$10004)=$B$3)*(MONTH(MOVIMIENTOS!$B$5:$B$10004)=6)*((MOVIMIENTOS!$C$5:$C$10004="Gasto")+(MOVIMIENTOS!$C$5:$C$10004="Compra"))*MOVIMIENTOS!$N$5:$N$10004)</f>
        <v>0</v>
      </c>
      <c r="E10" s="21">
        <f>SUMPRODUCT((YEAR(MOVIMIENTOS!$B$5:$B$10004)=$B$3)*(MONTH(MOVIMIENTOS!$B$5:$B$10004)=6)*((MOVIMIENTOS!$C$5:$C$10004="Ingreso")+(MOVIMIENTOS!$C$5:$C$10004="Venta"))*MOVIMIENTOS!$N$5:$N$10004)</f>
        <v>0</v>
      </c>
    </row>
    <row r="11" spans="1:5" x14ac:dyDescent="0.25">
      <c r="A11" t="s">
        <v>442</v>
      </c>
      <c r="B11" s="21">
        <f>SUMPRODUCT((YEAR(MOVIMIENTOS!$B$5:$B$10004)=$B$3)*(MONTH(MOVIMIENTOS!$B$5:$B$10004)=7)*((MOVIMIENTOS!$C$5:$C$10004="Ingreso")+(MOVIMIENTOS!$C$5:$C$10004="Venta"))*MOVIMIENTOS!$M$5:$M$10004)</f>
        <v>0</v>
      </c>
      <c r="C11" s="21">
        <f>SUMPRODUCT((YEAR(MOVIMIENTOS!$B$5:$B$10004)=$B$3)*(MONTH(MOVIMIENTOS!$B$5:$B$10004)=7)*((MOVIMIENTOS!$C$5:$C$10004="Gasto")+(MOVIMIENTOS!$C$5:$C$10004="Compra"))*MOVIMIENTOS!$M$5:$M$10004)</f>
        <v>0</v>
      </c>
      <c r="D11" s="21">
        <f>SUMPRODUCT((YEAR(MOVIMIENTOS!$B$5:$B$10004)=$B$3)*(MONTH(MOVIMIENTOS!$B$5:$B$10004)=7)*((MOVIMIENTOS!$C$5:$C$10004="Gasto")+(MOVIMIENTOS!$C$5:$C$10004="Compra"))*MOVIMIENTOS!$N$5:$N$10004)</f>
        <v>0</v>
      </c>
      <c r="E11" s="21">
        <f>SUMPRODUCT((YEAR(MOVIMIENTOS!$B$5:$B$10004)=$B$3)*(MONTH(MOVIMIENTOS!$B$5:$B$10004)=7)*((MOVIMIENTOS!$C$5:$C$10004="Ingreso")+(MOVIMIENTOS!$C$5:$C$10004="Venta"))*MOVIMIENTOS!$N$5:$N$10004)</f>
        <v>0</v>
      </c>
    </row>
    <row r="12" spans="1:5" x14ac:dyDescent="0.25">
      <c r="A12" t="s">
        <v>443</v>
      </c>
      <c r="B12" s="21">
        <f>SUMPRODUCT((YEAR(MOVIMIENTOS!$B$5:$B$10004)=$B$3)*(MONTH(MOVIMIENTOS!$B$5:$B$10004)=8)*((MOVIMIENTOS!$C$5:$C$10004="Ingreso")+(MOVIMIENTOS!$C$5:$C$10004="Venta"))*MOVIMIENTOS!$M$5:$M$10004)</f>
        <v>0</v>
      </c>
      <c r="C12" s="21">
        <f>SUMPRODUCT((YEAR(MOVIMIENTOS!$B$5:$B$10004)=$B$3)*(MONTH(MOVIMIENTOS!$B$5:$B$10004)=8)*((MOVIMIENTOS!$C$5:$C$10004="Gasto")+(MOVIMIENTOS!$C$5:$C$10004="Compra"))*MOVIMIENTOS!$M$5:$M$10004)</f>
        <v>0</v>
      </c>
      <c r="D12" s="21">
        <f>SUMPRODUCT((YEAR(MOVIMIENTOS!$B$5:$B$10004)=$B$3)*(MONTH(MOVIMIENTOS!$B$5:$B$10004)=8)*((MOVIMIENTOS!$C$5:$C$10004="Gasto")+(MOVIMIENTOS!$C$5:$C$10004="Compra"))*MOVIMIENTOS!$N$5:$N$10004)</f>
        <v>0</v>
      </c>
      <c r="E12" s="21">
        <f>SUMPRODUCT((YEAR(MOVIMIENTOS!$B$5:$B$10004)=$B$3)*(MONTH(MOVIMIENTOS!$B$5:$B$10004)=8)*((MOVIMIENTOS!$C$5:$C$10004="Ingreso")+(MOVIMIENTOS!$C$5:$C$10004="Venta"))*MOVIMIENTOS!$N$5:$N$10004)</f>
        <v>0</v>
      </c>
    </row>
    <row r="13" spans="1:5" x14ac:dyDescent="0.25">
      <c r="A13" t="s">
        <v>444</v>
      </c>
      <c r="B13" s="21">
        <f>SUMPRODUCT((YEAR(MOVIMIENTOS!$B$5:$B$10004)=$B$3)*(MONTH(MOVIMIENTOS!$B$5:$B$10004)=9)*((MOVIMIENTOS!$C$5:$C$10004="Ingreso")+(MOVIMIENTOS!$C$5:$C$10004="Venta"))*MOVIMIENTOS!$M$5:$M$10004)</f>
        <v>0</v>
      </c>
      <c r="C13" s="21">
        <f>SUMPRODUCT((YEAR(MOVIMIENTOS!$B$5:$B$10004)=$B$3)*(MONTH(MOVIMIENTOS!$B$5:$B$10004)=9)*((MOVIMIENTOS!$C$5:$C$10004="Gasto")+(MOVIMIENTOS!$C$5:$C$10004="Compra"))*MOVIMIENTOS!$M$5:$M$10004)</f>
        <v>0</v>
      </c>
      <c r="D13" s="21">
        <f>SUMPRODUCT((YEAR(MOVIMIENTOS!$B$5:$B$10004)=$B$3)*(MONTH(MOVIMIENTOS!$B$5:$B$10004)=9)*((MOVIMIENTOS!$C$5:$C$10004="Gasto")+(MOVIMIENTOS!$C$5:$C$10004="Compra"))*MOVIMIENTOS!$N$5:$N$10004)</f>
        <v>0</v>
      </c>
      <c r="E13" s="21">
        <f>SUMPRODUCT((YEAR(MOVIMIENTOS!$B$5:$B$10004)=$B$3)*(MONTH(MOVIMIENTOS!$B$5:$B$10004)=9)*((MOVIMIENTOS!$C$5:$C$10004="Ingreso")+(MOVIMIENTOS!$C$5:$C$10004="Venta"))*MOVIMIENTOS!$N$5:$N$10004)</f>
        <v>0</v>
      </c>
    </row>
    <row r="14" spans="1:5" x14ac:dyDescent="0.25">
      <c r="A14" t="s">
        <v>445</v>
      </c>
      <c r="B14" s="21">
        <f>SUMPRODUCT((YEAR(MOVIMIENTOS!$B$5:$B$10004)=$B$3)*(MONTH(MOVIMIENTOS!$B$5:$B$10004)=10)*((MOVIMIENTOS!$C$5:$C$10004="Ingreso")+(MOVIMIENTOS!$C$5:$C$10004="Venta"))*MOVIMIENTOS!$M$5:$M$10004)</f>
        <v>0</v>
      </c>
      <c r="C14" s="21">
        <f>SUMPRODUCT((YEAR(MOVIMIENTOS!$B$5:$B$10004)=$B$3)*(MONTH(MOVIMIENTOS!$B$5:$B$10004)=10)*((MOVIMIENTOS!$C$5:$C$10004="Gasto")+(MOVIMIENTOS!$C$5:$C$10004="Compra"))*MOVIMIENTOS!$M$5:$M$10004)</f>
        <v>0</v>
      </c>
      <c r="D14" s="21">
        <f>SUMPRODUCT((YEAR(MOVIMIENTOS!$B$5:$B$10004)=$B$3)*(MONTH(MOVIMIENTOS!$B$5:$B$10004)=10)*((MOVIMIENTOS!$C$5:$C$10004="Gasto")+(MOVIMIENTOS!$C$5:$C$10004="Compra"))*MOVIMIENTOS!$N$5:$N$10004)</f>
        <v>0</v>
      </c>
      <c r="E14" s="21">
        <f>SUMPRODUCT((YEAR(MOVIMIENTOS!$B$5:$B$10004)=$B$3)*(MONTH(MOVIMIENTOS!$B$5:$B$10004)=10)*((MOVIMIENTOS!$C$5:$C$10004="Ingreso")+(MOVIMIENTOS!$C$5:$C$10004="Venta"))*MOVIMIENTOS!$N$5:$N$10004)</f>
        <v>0</v>
      </c>
    </row>
    <row r="15" spans="1:5" x14ac:dyDescent="0.25">
      <c r="A15" t="s">
        <v>446</v>
      </c>
      <c r="B15" s="21">
        <f>SUMPRODUCT((YEAR(MOVIMIENTOS!$B$5:$B$10004)=$B$3)*(MONTH(MOVIMIENTOS!$B$5:$B$10004)=11)*((MOVIMIENTOS!$C$5:$C$10004="Ingreso")+(MOVIMIENTOS!$C$5:$C$10004="Venta"))*MOVIMIENTOS!$M$5:$M$10004)</f>
        <v>0</v>
      </c>
      <c r="C15" s="21">
        <f>SUMPRODUCT((YEAR(MOVIMIENTOS!$B$5:$B$10004)=$B$3)*(MONTH(MOVIMIENTOS!$B$5:$B$10004)=11)*((MOVIMIENTOS!$C$5:$C$10004="Gasto")+(MOVIMIENTOS!$C$5:$C$10004="Compra"))*MOVIMIENTOS!$M$5:$M$10004)</f>
        <v>0</v>
      </c>
      <c r="D15" s="21">
        <f>SUMPRODUCT((YEAR(MOVIMIENTOS!$B$5:$B$10004)=$B$3)*(MONTH(MOVIMIENTOS!$B$5:$B$10004)=11)*((MOVIMIENTOS!$C$5:$C$10004="Gasto")+(MOVIMIENTOS!$C$5:$C$10004="Compra"))*MOVIMIENTOS!$N$5:$N$10004)</f>
        <v>0</v>
      </c>
      <c r="E15" s="21">
        <f>SUMPRODUCT((YEAR(MOVIMIENTOS!$B$5:$B$10004)=$B$3)*(MONTH(MOVIMIENTOS!$B$5:$B$10004)=11)*((MOVIMIENTOS!$C$5:$C$10004="Ingreso")+(MOVIMIENTOS!$C$5:$C$10004="Venta"))*MOVIMIENTOS!$N$5:$N$10004)</f>
        <v>0</v>
      </c>
    </row>
    <row r="16" spans="1:5" x14ac:dyDescent="0.25">
      <c r="A16" t="s">
        <v>447</v>
      </c>
      <c r="B16" s="21">
        <f>SUMPRODUCT((YEAR(MOVIMIENTOS!$B$5:$B$10004)=$B$3)*(MONTH(MOVIMIENTOS!$B$5:$B$10004)=12)*((MOVIMIENTOS!$C$5:$C$10004="Ingreso")+(MOVIMIENTOS!$C$5:$C$10004="Venta"))*MOVIMIENTOS!$M$5:$M$10004)</f>
        <v>0</v>
      </c>
      <c r="C16" s="21">
        <f>SUMPRODUCT((YEAR(MOVIMIENTOS!$B$5:$B$10004)=$B$3)*(MONTH(MOVIMIENTOS!$B$5:$B$10004)=12)*((MOVIMIENTOS!$C$5:$C$10004="Gasto")+(MOVIMIENTOS!$C$5:$C$10004="Compra"))*MOVIMIENTOS!$M$5:$M$10004)</f>
        <v>0</v>
      </c>
      <c r="D16" s="21">
        <f>SUMPRODUCT((YEAR(MOVIMIENTOS!$B$5:$B$10004)=$B$3)*(MONTH(MOVIMIENTOS!$B$5:$B$10004)=12)*((MOVIMIENTOS!$C$5:$C$10004="Gasto")+(MOVIMIENTOS!$C$5:$C$10004="Compra"))*MOVIMIENTOS!$N$5:$N$10004)</f>
        <v>0</v>
      </c>
      <c r="E16" s="21">
        <f>SUMPRODUCT((YEAR(MOVIMIENTOS!$B$5:$B$10004)=$B$3)*(MONTH(MOVIMIENTOS!$B$5:$B$10004)=12)*((MOVIMIENTOS!$C$5:$C$10004="Ingreso")+(MOVIMIENTOS!$C$5:$C$10004="Venta"))*MOVIMIENTOS!$N$5:$N$10004)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B7791F"/>
  </sheetPr>
  <dimension ref="A1:F16"/>
  <sheetViews>
    <sheetView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3" width="12" customWidth="1"/>
    <col min="4" max="4" width="15" customWidth="1"/>
    <col min="5" max="6" width="22" customWidth="1"/>
  </cols>
  <sheetData>
    <row r="1" spans="1:6" ht="21" x14ac:dyDescent="0.35">
      <c r="A1" s="1" t="s">
        <v>460</v>
      </c>
    </row>
    <row r="2" spans="1:6" x14ac:dyDescent="0.25">
      <c r="A2" s="2" t="s">
        <v>461</v>
      </c>
    </row>
    <row r="3" spans="1:6" x14ac:dyDescent="0.25">
      <c r="A3" t="s">
        <v>414</v>
      </c>
      <c r="B3" s="29">
        <v>2026</v>
      </c>
    </row>
    <row r="4" spans="1:6" ht="27.95" customHeight="1" x14ac:dyDescent="0.25">
      <c r="A4" s="30" t="s">
        <v>462</v>
      </c>
      <c r="B4" s="30" t="s">
        <v>33</v>
      </c>
      <c r="C4" s="30" t="s">
        <v>34</v>
      </c>
      <c r="D4" s="30" t="s">
        <v>463</v>
      </c>
      <c r="E4" s="30" t="s">
        <v>464</v>
      </c>
      <c r="F4" s="30" t="s">
        <v>41</v>
      </c>
    </row>
    <row r="5" spans="1:6" x14ac:dyDescent="0.25">
      <c r="A5" t="s">
        <v>111</v>
      </c>
      <c r="B5" s="21">
        <f>SUMPRODUCT(((YEAR(MOVIMIENTOS!$B$5:$B$10004)=$B$3)*(MONTH(MOVIMIENTOS!$B$5:$B$10004)=1))*((MOVIMIENTOS!$C$5:$C$10004="Ingreso")+(MOVIMIENTOS!$C$5:$C$10004="Venta"))*(MOVIMIENTOS!$P$5:$P$10004="Pagado")*MOVIMIENTOS!$O$5:$O$10004)</f>
        <v>0</v>
      </c>
      <c r="C5" s="21">
        <f>SUMPRODUCT(((YEAR(MOVIMIENTOS!$B$5:$B$10004)=$B$3)*(MONTH(MOVIMIENTOS!$B$5:$B$10004)=1))*((MOVIMIENTOS!$C$5:$C$10004="Gasto")+(MOVIMIENTOS!$C$5:$C$10004="Compra"))*(MOVIMIENTOS!$P$5:$P$10004="Pagado")*MOVIMIENTOS!$O$5:$O$10004)</f>
        <v>0</v>
      </c>
      <c r="D5" s="21">
        <f t="shared" ref="D5:D16" si="0">B5-C5</f>
        <v>0</v>
      </c>
      <c r="E5">
        <f>SUMPRODUCT(((YEAR(DOCUMENTOS!$B$5:$B$10004)=$B$3)*(MONTH(DOCUMENTOS!$B$5:$B$10004)=1))*(DOCUMENTOS!$L$5:$L$10004="Validado"))</f>
        <v>0</v>
      </c>
      <c r="F5">
        <f>SUMPRODUCT(((YEAR(DOCUMENTOS!$B$5:$B$10004)=$B$3)*(MONTH(DOCUMENTOS!$B$5:$B$10004)=1))*(DOCUMENTOS!$L$5:$L$10004="Error"))</f>
        <v>0</v>
      </c>
    </row>
    <row r="6" spans="1:6" x14ac:dyDescent="0.25">
      <c r="A6" t="s">
        <v>437</v>
      </c>
      <c r="B6" s="21">
        <f>SUMPRODUCT(((YEAR(MOVIMIENTOS!$B$5:$B$10004)=$B$3)*(MONTH(MOVIMIENTOS!$B$5:$B$10004)=2))*((MOVIMIENTOS!$C$5:$C$10004="Ingreso")+(MOVIMIENTOS!$C$5:$C$10004="Venta"))*(MOVIMIENTOS!$P$5:$P$10004="Pagado")*MOVIMIENTOS!$O$5:$O$10004)</f>
        <v>0</v>
      </c>
      <c r="C6" s="21">
        <f>SUMPRODUCT(((YEAR(MOVIMIENTOS!$B$5:$B$10004)=$B$3)*(MONTH(MOVIMIENTOS!$B$5:$B$10004)=2))*((MOVIMIENTOS!$C$5:$C$10004="Gasto")+(MOVIMIENTOS!$C$5:$C$10004="Compra"))*(MOVIMIENTOS!$P$5:$P$10004="Pagado")*MOVIMIENTOS!$O$5:$O$10004)</f>
        <v>0</v>
      </c>
      <c r="D6" s="21">
        <f t="shared" si="0"/>
        <v>0</v>
      </c>
      <c r="E6">
        <f>SUMPRODUCT(((YEAR(DOCUMENTOS!$B$5:$B$10004)=$B$3)*(MONTH(DOCUMENTOS!$B$5:$B$10004)=2))*(DOCUMENTOS!$L$5:$L$10004="Validado"))</f>
        <v>0</v>
      </c>
      <c r="F6">
        <f>SUMPRODUCT(((YEAR(DOCUMENTOS!$B$5:$B$10004)=$B$3)*(MONTH(DOCUMENTOS!$B$5:$B$10004)=2))*(DOCUMENTOS!$L$5:$L$10004="Error"))</f>
        <v>0</v>
      </c>
    </row>
    <row r="7" spans="1:6" x14ac:dyDescent="0.25">
      <c r="A7" t="s">
        <v>438</v>
      </c>
      <c r="B7" s="21">
        <f>SUMPRODUCT(((YEAR(MOVIMIENTOS!$B$5:$B$10004)=$B$3)*(MONTH(MOVIMIENTOS!$B$5:$B$10004)=3))*((MOVIMIENTOS!$C$5:$C$10004="Ingreso")+(MOVIMIENTOS!$C$5:$C$10004="Venta"))*(MOVIMIENTOS!$P$5:$P$10004="Pagado")*MOVIMIENTOS!$O$5:$O$10004)</f>
        <v>0</v>
      </c>
      <c r="C7" s="21">
        <f>SUMPRODUCT(((YEAR(MOVIMIENTOS!$B$5:$B$10004)=$B$3)*(MONTH(MOVIMIENTOS!$B$5:$B$10004)=3))*((MOVIMIENTOS!$C$5:$C$10004="Gasto")+(MOVIMIENTOS!$C$5:$C$10004="Compra"))*(MOVIMIENTOS!$P$5:$P$10004="Pagado")*MOVIMIENTOS!$O$5:$O$10004)</f>
        <v>0</v>
      </c>
      <c r="D7" s="21">
        <f t="shared" si="0"/>
        <v>0</v>
      </c>
      <c r="E7">
        <f>SUMPRODUCT(((YEAR(DOCUMENTOS!$B$5:$B$10004)=$B$3)*(MONTH(DOCUMENTOS!$B$5:$B$10004)=3))*(DOCUMENTOS!$L$5:$L$10004="Validado"))</f>
        <v>0</v>
      </c>
      <c r="F7">
        <f>SUMPRODUCT(((YEAR(DOCUMENTOS!$B$5:$B$10004)=$B$3)*(MONTH(DOCUMENTOS!$B$5:$B$10004)=3))*(DOCUMENTOS!$L$5:$L$10004="Error"))</f>
        <v>0</v>
      </c>
    </row>
    <row r="8" spans="1:6" x14ac:dyDescent="0.25">
      <c r="A8" t="s">
        <v>439</v>
      </c>
      <c r="B8" s="21">
        <f>SUMPRODUCT(((YEAR(MOVIMIENTOS!$B$5:$B$10004)=$B$3)*(MONTH(MOVIMIENTOS!$B$5:$B$10004)=4))*((MOVIMIENTOS!$C$5:$C$10004="Ingreso")+(MOVIMIENTOS!$C$5:$C$10004="Venta"))*(MOVIMIENTOS!$P$5:$P$10004="Pagado")*MOVIMIENTOS!$O$5:$O$10004)</f>
        <v>0</v>
      </c>
      <c r="C8" s="21">
        <f>SUMPRODUCT(((YEAR(MOVIMIENTOS!$B$5:$B$10004)=$B$3)*(MONTH(MOVIMIENTOS!$B$5:$B$10004)=4))*((MOVIMIENTOS!$C$5:$C$10004="Gasto")+(MOVIMIENTOS!$C$5:$C$10004="Compra"))*(MOVIMIENTOS!$P$5:$P$10004="Pagado")*MOVIMIENTOS!$O$5:$O$10004)</f>
        <v>0</v>
      </c>
      <c r="D8" s="21">
        <f t="shared" si="0"/>
        <v>0</v>
      </c>
      <c r="E8">
        <f>SUMPRODUCT(((YEAR(DOCUMENTOS!$B$5:$B$10004)=$B$3)*(MONTH(DOCUMENTOS!$B$5:$B$10004)=4))*(DOCUMENTOS!$L$5:$L$10004="Validado"))</f>
        <v>0</v>
      </c>
      <c r="F8">
        <f>SUMPRODUCT(((YEAR(DOCUMENTOS!$B$5:$B$10004)=$B$3)*(MONTH(DOCUMENTOS!$B$5:$B$10004)=4))*(DOCUMENTOS!$L$5:$L$10004="Error"))</f>
        <v>0</v>
      </c>
    </row>
    <row r="9" spans="1:6" x14ac:dyDescent="0.25">
      <c r="A9" t="s">
        <v>440</v>
      </c>
      <c r="B9" s="21">
        <f>SUMPRODUCT(((YEAR(MOVIMIENTOS!$B$5:$B$10004)=$B$3)*(MONTH(MOVIMIENTOS!$B$5:$B$10004)=5))*((MOVIMIENTOS!$C$5:$C$10004="Ingreso")+(MOVIMIENTOS!$C$5:$C$10004="Venta"))*(MOVIMIENTOS!$P$5:$P$10004="Pagado")*MOVIMIENTOS!$O$5:$O$10004)</f>
        <v>0</v>
      </c>
      <c r="C9" s="21">
        <f>SUMPRODUCT(((YEAR(MOVIMIENTOS!$B$5:$B$10004)=$B$3)*(MONTH(MOVIMIENTOS!$B$5:$B$10004)=5))*((MOVIMIENTOS!$C$5:$C$10004="Gasto")+(MOVIMIENTOS!$C$5:$C$10004="Compra"))*(MOVIMIENTOS!$P$5:$P$10004="Pagado")*MOVIMIENTOS!$O$5:$O$10004)</f>
        <v>0</v>
      </c>
      <c r="D9" s="21">
        <f t="shared" si="0"/>
        <v>0</v>
      </c>
      <c r="E9">
        <f>SUMPRODUCT(((YEAR(DOCUMENTOS!$B$5:$B$10004)=$B$3)*(MONTH(DOCUMENTOS!$B$5:$B$10004)=5))*(DOCUMENTOS!$L$5:$L$10004="Validado"))</f>
        <v>0</v>
      </c>
      <c r="F9">
        <f>SUMPRODUCT(((YEAR(DOCUMENTOS!$B$5:$B$10004)=$B$3)*(MONTH(DOCUMENTOS!$B$5:$B$10004)=5))*(DOCUMENTOS!$L$5:$L$10004="Error"))</f>
        <v>0</v>
      </c>
    </row>
    <row r="10" spans="1:6" x14ac:dyDescent="0.25">
      <c r="A10" t="s">
        <v>441</v>
      </c>
      <c r="B10" s="21">
        <f>SUMPRODUCT(((YEAR(MOVIMIENTOS!$B$5:$B$10004)=$B$3)*(MONTH(MOVIMIENTOS!$B$5:$B$10004)=6))*((MOVIMIENTOS!$C$5:$C$10004="Ingreso")+(MOVIMIENTOS!$C$5:$C$10004="Venta"))*(MOVIMIENTOS!$P$5:$P$10004="Pagado")*MOVIMIENTOS!$O$5:$O$10004)</f>
        <v>0</v>
      </c>
      <c r="C10" s="21">
        <f>SUMPRODUCT(((YEAR(MOVIMIENTOS!$B$5:$B$10004)=$B$3)*(MONTH(MOVIMIENTOS!$B$5:$B$10004)=6))*((MOVIMIENTOS!$C$5:$C$10004="Gasto")+(MOVIMIENTOS!$C$5:$C$10004="Compra"))*(MOVIMIENTOS!$P$5:$P$10004="Pagado")*MOVIMIENTOS!$O$5:$O$10004)</f>
        <v>0</v>
      </c>
      <c r="D10" s="21">
        <f t="shared" si="0"/>
        <v>0</v>
      </c>
      <c r="E10">
        <f>SUMPRODUCT(((YEAR(DOCUMENTOS!$B$5:$B$10004)=$B$3)*(MONTH(DOCUMENTOS!$B$5:$B$10004)=6))*(DOCUMENTOS!$L$5:$L$10004="Validado"))</f>
        <v>0</v>
      </c>
      <c r="F10">
        <f>SUMPRODUCT(((YEAR(DOCUMENTOS!$B$5:$B$10004)=$B$3)*(MONTH(DOCUMENTOS!$B$5:$B$10004)=6))*(DOCUMENTOS!$L$5:$L$10004="Error"))</f>
        <v>0</v>
      </c>
    </row>
    <row r="11" spans="1:6" x14ac:dyDescent="0.25">
      <c r="A11" t="s">
        <v>442</v>
      </c>
      <c r="B11" s="21">
        <f>SUMPRODUCT(((YEAR(MOVIMIENTOS!$B$5:$B$10004)=$B$3)*(MONTH(MOVIMIENTOS!$B$5:$B$10004)=7))*((MOVIMIENTOS!$C$5:$C$10004="Ingreso")+(MOVIMIENTOS!$C$5:$C$10004="Venta"))*(MOVIMIENTOS!$P$5:$P$10004="Pagado")*MOVIMIENTOS!$O$5:$O$10004)</f>
        <v>0</v>
      </c>
      <c r="C11" s="21">
        <f>SUMPRODUCT(((YEAR(MOVIMIENTOS!$B$5:$B$10004)=$B$3)*(MONTH(MOVIMIENTOS!$B$5:$B$10004)=7))*((MOVIMIENTOS!$C$5:$C$10004="Gasto")+(MOVIMIENTOS!$C$5:$C$10004="Compra"))*(MOVIMIENTOS!$P$5:$P$10004="Pagado")*MOVIMIENTOS!$O$5:$O$10004)</f>
        <v>0</v>
      </c>
      <c r="D11" s="21">
        <f t="shared" si="0"/>
        <v>0</v>
      </c>
      <c r="E11">
        <f>SUMPRODUCT(((YEAR(DOCUMENTOS!$B$5:$B$10004)=$B$3)*(MONTH(DOCUMENTOS!$B$5:$B$10004)=7))*(DOCUMENTOS!$L$5:$L$10004="Validado"))</f>
        <v>0</v>
      </c>
      <c r="F11">
        <f>SUMPRODUCT(((YEAR(DOCUMENTOS!$B$5:$B$10004)=$B$3)*(MONTH(DOCUMENTOS!$B$5:$B$10004)=7))*(DOCUMENTOS!$L$5:$L$10004="Error"))</f>
        <v>0</v>
      </c>
    </row>
    <row r="12" spans="1:6" x14ac:dyDescent="0.25">
      <c r="A12" t="s">
        <v>443</v>
      </c>
      <c r="B12" s="21">
        <f>SUMPRODUCT(((YEAR(MOVIMIENTOS!$B$5:$B$10004)=$B$3)*(MONTH(MOVIMIENTOS!$B$5:$B$10004)=8))*((MOVIMIENTOS!$C$5:$C$10004="Ingreso")+(MOVIMIENTOS!$C$5:$C$10004="Venta"))*(MOVIMIENTOS!$P$5:$P$10004="Pagado")*MOVIMIENTOS!$O$5:$O$10004)</f>
        <v>0</v>
      </c>
      <c r="C12" s="21">
        <f>SUMPRODUCT(((YEAR(MOVIMIENTOS!$B$5:$B$10004)=$B$3)*(MONTH(MOVIMIENTOS!$B$5:$B$10004)=8))*((MOVIMIENTOS!$C$5:$C$10004="Gasto")+(MOVIMIENTOS!$C$5:$C$10004="Compra"))*(MOVIMIENTOS!$P$5:$P$10004="Pagado")*MOVIMIENTOS!$O$5:$O$10004)</f>
        <v>0</v>
      </c>
      <c r="D12" s="21">
        <f t="shared" si="0"/>
        <v>0</v>
      </c>
      <c r="E12">
        <f>SUMPRODUCT(((YEAR(DOCUMENTOS!$B$5:$B$10004)=$B$3)*(MONTH(DOCUMENTOS!$B$5:$B$10004)=8))*(DOCUMENTOS!$L$5:$L$10004="Validado"))</f>
        <v>0</v>
      </c>
      <c r="F12">
        <f>SUMPRODUCT(((YEAR(DOCUMENTOS!$B$5:$B$10004)=$B$3)*(MONTH(DOCUMENTOS!$B$5:$B$10004)=8))*(DOCUMENTOS!$L$5:$L$10004="Error"))</f>
        <v>0</v>
      </c>
    </row>
    <row r="13" spans="1:6" x14ac:dyDescent="0.25">
      <c r="A13" t="s">
        <v>444</v>
      </c>
      <c r="B13" s="21">
        <f>SUMPRODUCT(((YEAR(MOVIMIENTOS!$B$5:$B$10004)=$B$3)*(MONTH(MOVIMIENTOS!$B$5:$B$10004)=9))*((MOVIMIENTOS!$C$5:$C$10004="Ingreso")+(MOVIMIENTOS!$C$5:$C$10004="Venta"))*(MOVIMIENTOS!$P$5:$P$10004="Pagado")*MOVIMIENTOS!$O$5:$O$10004)</f>
        <v>0</v>
      </c>
      <c r="C13" s="21">
        <f>SUMPRODUCT(((YEAR(MOVIMIENTOS!$B$5:$B$10004)=$B$3)*(MONTH(MOVIMIENTOS!$B$5:$B$10004)=9))*((MOVIMIENTOS!$C$5:$C$10004="Gasto")+(MOVIMIENTOS!$C$5:$C$10004="Compra"))*(MOVIMIENTOS!$P$5:$P$10004="Pagado")*MOVIMIENTOS!$O$5:$O$10004)</f>
        <v>0</v>
      </c>
      <c r="D13" s="21">
        <f t="shared" si="0"/>
        <v>0</v>
      </c>
      <c r="E13">
        <f>SUMPRODUCT(((YEAR(DOCUMENTOS!$B$5:$B$10004)=$B$3)*(MONTH(DOCUMENTOS!$B$5:$B$10004)=9))*(DOCUMENTOS!$L$5:$L$10004="Validado"))</f>
        <v>0</v>
      </c>
      <c r="F13">
        <f>SUMPRODUCT(((YEAR(DOCUMENTOS!$B$5:$B$10004)=$B$3)*(MONTH(DOCUMENTOS!$B$5:$B$10004)=9))*(DOCUMENTOS!$L$5:$L$10004="Error"))</f>
        <v>0</v>
      </c>
    </row>
    <row r="14" spans="1:6" x14ac:dyDescent="0.25">
      <c r="A14" t="s">
        <v>445</v>
      </c>
      <c r="B14" s="21">
        <f>SUMPRODUCT(((YEAR(MOVIMIENTOS!$B$5:$B$10004)=$B$3)*(MONTH(MOVIMIENTOS!$B$5:$B$10004)=10))*((MOVIMIENTOS!$C$5:$C$10004="Ingreso")+(MOVIMIENTOS!$C$5:$C$10004="Venta"))*(MOVIMIENTOS!$P$5:$P$10004="Pagado")*MOVIMIENTOS!$O$5:$O$10004)</f>
        <v>0</v>
      </c>
      <c r="C14" s="21">
        <f>SUMPRODUCT(((YEAR(MOVIMIENTOS!$B$5:$B$10004)=$B$3)*(MONTH(MOVIMIENTOS!$B$5:$B$10004)=10))*((MOVIMIENTOS!$C$5:$C$10004="Gasto")+(MOVIMIENTOS!$C$5:$C$10004="Compra"))*(MOVIMIENTOS!$P$5:$P$10004="Pagado")*MOVIMIENTOS!$O$5:$O$10004)</f>
        <v>0</v>
      </c>
      <c r="D14" s="21">
        <f t="shared" si="0"/>
        <v>0</v>
      </c>
      <c r="E14">
        <f>SUMPRODUCT(((YEAR(DOCUMENTOS!$B$5:$B$10004)=$B$3)*(MONTH(DOCUMENTOS!$B$5:$B$10004)=10))*(DOCUMENTOS!$L$5:$L$10004="Validado"))</f>
        <v>0</v>
      </c>
      <c r="F14">
        <f>SUMPRODUCT(((YEAR(DOCUMENTOS!$B$5:$B$10004)=$B$3)*(MONTH(DOCUMENTOS!$B$5:$B$10004)=10))*(DOCUMENTOS!$L$5:$L$10004="Error"))</f>
        <v>0</v>
      </c>
    </row>
    <row r="15" spans="1:6" x14ac:dyDescent="0.25">
      <c r="A15" t="s">
        <v>446</v>
      </c>
      <c r="B15" s="21">
        <f>SUMPRODUCT(((YEAR(MOVIMIENTOS!$B$5:$B$10004)=$B$3)*(MONTH(MOVIMIENTOS!$B$5:$B$10004)=11))*((MOVIMIENTOS!$C$5:$C$10004="Ingreso")+(MOVIMIENTOS!$C$5:$C$10004="Venta"))*(MOVIMIENTOS!$P$5:$P$10004="Pagado")*MOVIMIENTOS!$O$5:$O$10004)</f>
        <v>0</v>
      </c>
      <c r="C15" s="21">
        <f>SUMPRODUCT(((YEAR(MOVIMIENTOS!$B$5:$B$10004)=$B$3)*(MONTH(MOVIMIENTOS!$B$5:$B$10004)=11))*((MOVIMIENTOS!$C$5:$C$10004="Gasto")+(MOVIMIENTOS!$C$5:$C$10004="Compra"))*(MOVIMIENTOS!$P$5:$P$10004="Pagado")*MOVIMIENTOS!$O$5:$O$10004)</f>
        <v>0</v>
      </c>
      <c r="D15" s="21">
        <f t="shared" si="0"/>
        <v>0</v>
      </c>
      <c r="E15">
        <f>SUMPRODUCT(((YEAR(DOCUMENTOS!$B$5:$B$10004)=$B$3)*(MONTH(DOCUMENTOS!$B$5:$B$10004)=11))*(DOCUMENTOS!$L$5:$L$10004="Validado"))</f>
        <v>0</v>
      </c>
      <c r="F15">
        <f>SUMPRODUCT(((YEAR(DOCUMENTOS!$B$5:$B$10004)=$B$3)*(MONTH(DOCUMENTOS!$B$5:$B$10004)=11))*(DOCUMENTOS!$L$5:$L$10004="Error"))</f>
        <v>0</v>
      </c>
    </row>
    <row r="16" spans="1:6" x14ac:dyDescent="0.25">
      <c r="A16" t="s">
        <v>447</v>
      </c>
      <c r="B16" s="21">
        <f>SUMPRODUCT(((YEAR(MOVIMIENTOS!$B$5:$B$10004)=$B$3)*(MONTH(MOVIMIENTOS!$B$5:$B$10004)=12))*((MOVIMIENTOS!$C$5:$C$10004="Ingreso")+(MOVIMIENTOS!$C$5:$C$10004="Venta"))*(MOVIMIENTOS!$P$5:$P$10004="Pagado")*MOVIMIENTOS!$O$5:$O$10004)</f>
        <v>0</v>
      </c>
      <c r="C16" s="21">
        <f>SUMPRODUCT(((YEAR(MOVIMIENTOS!$B$5:$B$10004)=$B$3)*(MONTH(MOVIMIENTOS!$B$5:$B$10004)=12))*((MOVIMIENTOS!$C$5:$C$10004="Gasto")+(MOVIMIENTOS!$C$5:$C$10004="Compra"))*(MOVIMIENTOS!$P$5:$P$10004="Pagado")*MOVIMIENTOS!$O$5:$O$10004)</f>
        <v>0</v>
      </c>
      <c r="D16" s="21">
        <f t="shared" si="0"/>
        <v>0</v>
      </c>
      <c r="E16">
        <f>SUMPRODUCT(((YEAR(DOCUMENTOS!$B$5:$B$10004)=$B$3)*(MONTH(DOCUMENTOS!$B$5:$B$10004)=12))*(DOCUMENTOS!$L$5:$L$10004="Validado"))</f>
        <v>0</v>
      </c>
      <c r="F16">
        <f>SUMPRODUCT(((YEAR(DOCUMENTOS!$B$5:$B$10004)=$B$3)*(MONTH(DOCUMENTOS!$B$5:$B$10004)=12))*(DOCUMENTOS!$L$5:$L$10004="Error"))</f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B7791F"/>
  </sheetPr>
  <dimension ref="A1:F16"/>
  <sheetViews>
    <sheetView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3" width="12" customWidth="1"/>
    <col min="4" max="4" width="15" customWidth="1"/>
    <col min="5" max="6" width="22" customWidth="1"/>
  </cols>
  <sheetData>
    <row r="1" spans="1:6" ht="21" x14ac:dyDescent="0.35">
      <c r="A1" s="1" t="s">
        <v>465</v>
      </c>
    </row>
    <row r="2" spans="1:6" x14ac:dyDescent="0.25">
      <c r="A2" s="2" t="s">
        <v>461</v>
      </c>
    </row>
    <row r="3" spans="1:6" x14ac:dyDescent="0.25">
      <c r="A3" t="s">
        <v>466</v>
      </c>
      <c r="B3" s="29">
        <v>2021</v>
      </c>
    </row>
    <row r="4" spans="1:6" ht="27.95" customHeight="1" x14ac:dyDescent="0.25">
      <c r="A4" s="30" t="s">
        <v>467</v>
      </c>
      <c r="B4" s="30" t="s">
        <v>33</v>
      </c>
      <c r="C4" s="30" t="s">
        <v>34</v>
      </c>
      <c r="D4" s="30" t="s">
        <v>463</v>
      </c>
      <c r="E4" s="30" t="s">
        <v>464</v>
      </c>
      <c r="F4" s="30" t="s">
        <v>41</v>
      </c>
    </row>
    <row r="5" spans="1:6" x14ac:dyDescent="0.25">
      <c r="A5">
        <f>$B$3+0</f>
        <v>2021</v>
      </c>
      <c r="B5" s="21">
        <f>SUMPRODUCT((YEAR(MOVIMIENTOS!$B$5:$B$10004)=A5)*((MOVIMIENTOS!$C$5:$C$10004="Ingreso")+(MOVIMIENTOS!$C$5:$C$10004="Venta"))*(MOVIMIENTOS!$P$5:$P$10004="Pagado")*MOVIMIENTOS!$O$5:$O$10004)</f>
        <v>0</v>
      </c>
      <c r="C5" s="21">
        <f>SUMPRODUCT((YEAR(MOVIMIENTOS!$B$5:$B$10004)=A5)*((MOVIMIENTOS!$C$5:$C$10004="Gasto")+(MOVIMIENTOS!$C$5:$C$10004="Compra"))*(MOVIMIENTOS!$P$5:$P$10004="Pagado")*MOVIMIENTOS!$O$5:$O$10004)</f>
        <v>0</v>
      </c>
      <c r="D5" s="21">
        <f t="shared" ref="D5:D16" si="0">B5-C5</f>
        <v>0</v>
      </c>
      <c r="E5">
        <f>SUMPRODUCT((YEAR(DOCUMENTOS!$B$5:$B$10004)=A5)*(DOCUMENTOS!$L$5:$L$10004="Validado"))</f>
        <v>0</v>
      </c>
      <c r="F5">
        <f>SUMPRODUCT((YEAR(DOCUMENTOS!$B$5:$B$10004)=A5)*(DOCUMENTOS!$L$5:$L$10004="Error"))</f>
        <v>0</v>
      </c>
    </row>
    <row r="6" spans="1:6" x14ac:dyDescent="0.25">
      <c r="A6">
        <f>$B$3+1</f>
        <v>2022</v>
      </c>
      <c r="B6" s="21">
        <f>SUMPRODUCT((YEAR(MOVIMIENTOS!$B$5:$B$10004)=A6)*((MOVIMIENTOS!$C$5:$C$10004="Ingreso")+(MOVIMIENTOS!$C$5:$C$10004="Venta"))*(MOVIMIENTOS!$P$5:$P$10004="Pagado")*MOVIMIENTOS!$O$5:$O$10004)</f>
        <v>0</v>
      </c>
      <c r="C6" s="21">
        <f>SUMPRODUCT((YEAR(MOVIMIENTOS!$B$5:$B$10004)=A6)*((MOVIMIENTOS!$C$5:$C$10004="Gasto")+(MOVIMIENTOS!$C$5:$C$10004="Compra"))*(MOVIMIENTOS!$P$5:$P$10004="Pagado")*MOVIMIENTOS!$O$5:$O$10004)</f>
        <v>0</v>
      </c>
      <c r="D6" s="21">
        <f t="shared" si="0"/>
        <v>0</v>
      </c>
      <c r="E6">
        <f>SUMPRODUCT((YEAR(DOCUMENTOS!$B$5:$B$10004)=A6)*(DOCUMENTOS!$L$5:$L$10004="Validado"))</f>
        <v>0</v>
      </c>
      <c r="F6">
        <f>SUMPRODUCT((YEAR(DOCUMENTOS!$B$5:$B$10004)=A6)*(DOCUMENTOS!$L$5:$L$10004="Error"))</f>
        <v>0</v>
      </c>
    </row>
    <row r="7" spans="1:6" x14ac:dyDescent="0.25">
      <c r="A7">
        <f>$B$3+2</f>
        <v>2023</v>
      </c>
      <c r="B7" s="21">
        <f>SUMPRODUCT((YEAR(MOVIMIENTOS!$B$5:$B$10004)=A7)*((MOVIMIENTOS!$C$5:$C$10004="Ingreso")+(MOVIMIENTOS!$C$5:$C$10004="Venta"))*(MOVIMIENTOS!$P$5:$P$10004="Pagado")*MOVIMIENTOS!$O$5:$O$10004)</f>
        <v>0</v>
      </c>
      <c r="C7" s="21">
        <f>SUMPRODUCT((YEAR(MOVIMIENTOS!$B$5:$B$10004)=A7)*((MOVIMIENTOS!$C$5:$C$10004="Gasto")+(MOVIMIENTOS!$C$5:$C$10004="Compra"))*(MOVIMIENTOS!$P$5:$P$10004="Pagado")*MOVIMIENTOS!$O$5:$O$10004)</f>
        <v>0</v>
      </c>
      <c r="D7" s="21">
        <f t="shared" si="0"/>
        <v>0</v>
      </c>
      <c r="E7">
        <f>SUMPRODUCT((YEAR(DOCUMENTOS!$B$5:$B$10004)=A7)*(DOCUMENTOS!$L$5:$L$10004="Validado"))</f>
        <v>0</v>
      </c>
      <c r="F7">
        <f>SUMPRODUCT((YEAR(DOCUMENTOS!$B$5:$B$10004)=A7)*(DOCUMENTOS!$L$5:$L$10004="Error"))</f>
        <v>0</v>
      </c>
    </row>
    <row r="8" spans="1:6" x14ac:dyDescent="0.25">
      <c r="A8">
        <f>$B$3+3</f>
        <v>2024</v>
      </c>
      <c r="B8" s="21">
        <f>SUMPRODUCT((YEAR(MOVIMIENTOS!$B$5:$B$10004)=A8)*((MOVIMIENTOS!$C$5:$C$10004="Ingreso")+(MOVIMIENTOS!$C$5:$C$10004="Venta"))*(MOVIMIENTOS!$P$5:$P$10004="Pagado")*MOVIMIENTOS!$O$5:$O$10004)</f>
        <v>0</v>
      </c>
      <c r="C8" s="21">
        <f>SUMPRODUCT((YEAR(MOVIMIENTOS!$B$5:$B$10004)=A8)*((MOVIMIENTOS!$C$5:$C$10004="Gasto")+(MOVIMIENTOS!$C$5:$C$10004="Compra"))*(MOVIMIENTOS!$P$5:$P$10004="Pagado")*MOVIMIENTOS!$O$5:$O$10004)</f>
        <v>0</v>
      </c>
      <c r="D8" s="21">
        <f t="shared" si="0"/>
        <v>0</v>
      </c>
      <c r="E8">
        <f>SUMPRODUCT((YEAR(DOCUMENTOS!$B$5:$B$10004)=A8)*(DOCUMENTOS!$L$5:$L$10004="Validado"))</f>
        <v>0</v>
      </c>
      <c r="F8">
        <f>SUMPRODUCT((YEAR(DOCUMENTOS!$B$5:$B$10004)=A8)*(DOCUMENTOS!$L$5:$L$10004="Error"))</f>
        <v>0</v>
      </c>
    </row>
    <row r="9" spans="1:6" x14ac:dyDescent="0.25">
      <c r="A9">
        <f>$B$3+4</f>
        <v>2025</v>
      </c>
      <c r="B9" s="21">
        <f>SUMPRODUCT((YEAR(MOVIMIENTOS!$B$5:$B$10004)=A9)*((MOVIMIENTOS!$C$5:$C$10004="Ingreso")+(MOVIMIENTOS!$C$5:$C$10004="Venta"))*(MOVIMIENTOS!$P$5:$P$10004="Pagado")*MOVIMIENTOS!$O$5:$O$10004)</f>
        <v>0</v>
      </c>
      <c r="C9" s="21">
        <f>SUMPRODUCT((YEAR(MOVIMIENTOS!$B$5:$B$10004)=A9)*((MOVIMIENTOS!$C$5:$C$10004="Gasto")+(MOVIMIENTOS!$C$5:$C$10004="Compra"))*(MOVIMIENTOS!$P$5:$P$10004="Pagado")*MOVIMIENTOS!$O$5:$O$10004)</f>
        <v>0</v>
      </c>
      <c r="D9" s="21">
        <f t="shared" si="0"/>
        <v>0</v>
      </c>
      <c r="E9">
        <f>SUMPRODUCT((YEAR(DOCUMENTOS!$B$5:$B$10004)=A9)*(DOCUMENTOS!$L$5:$L$10004="Validado"))</f>
        <v>0</v>
      </c>
      <c r="F9">
        <f>SUMPRODUCT((YEAR(DOCUMENTOS!$B$5:$B$10004)=A9)*(DOCUMENTOS!$L$5:$L$10004="Error"))</f>
        <v>0</v>
      </c>
    </row>
    <row r="10" spans="1:6" x14ac:dyDescent="0.25">
      <c r="A10">
        <f>$B$3+5</f>
        <v>2026</v>
      </c>
      <c r="B10" s="21">
        <f>SUMPRODUCT((YEAR(MOVIMIENTOS!$B$5:$B$10004)=A10)*((MOVIMIENTOS!$C$5:$C$10004="Ingreso")+(MOVIMIENTOS!$C$5:$C$10004="Venta"))*(MOVIMIENTOS!$P$5:$P$10004="Pagado")*MOVIMIENTOS!$O$5:$O$10004)</f>
        <v>0</v>
      </c>
      <c r="C10" s="21">
        <f>SUMPRODUCT((YEAR(MOVIMIENTOS!$B$5:$B$10004)=A10)*((MOVIMIENTOS!$C$5:$C$10004="Gasto")+(MOVIMIENTOS!$C$5:$C$10004="Compra"))*(MOVIMIENTOS!$P$5:$P$10004="Pagado")*MOVIMIENTOS!$O$5:$O$10004)</f>
        <v>0</v>
      </c>
      <c r="D10" s="21">
        <f t="shared" si="0"/>
        <v>0</v>
      </c>
      <c r="E10">
        <f>SUMPRODUCT((YEAR(DOCUMENTOS!$B$5:$B$10004)=A10)*(DOCUMENTOS!$L$5:$L$10004="Validado"))</f>
        <v>0</v>
      </c>
      <c r="F10">
        <f>SUMPRODUCT((YEAR(DOCUMENTOS!$B$5:$B$10004)=A10)*(DOCUMENTOS!$L$5:$L$10004="Error"))</f>
        <v>0</v>
      </c>
    </row>
    <row r="11" spans="1:6" x14ac:dyDescent="0.25">
      <c r="A11">
        <f>$B$3+6</f>
        <v>2027</v>
      </c>
      <c r="B11" s="21">
        <f>SUMPRODUCT((YEAR(MOVIMIENTOS!$B$5:$B$10004)=A11)*((MOVIMIENTOS!$C$5:$C$10004="Ingreso")+(MOVIMIENTOS!$C$5:$C$10004="Venta"))*(MOVIMIENTOS!$P$5:$P$10004="Pagado")*MOVIMIENTOS!$O$5:$O$10004)</f>
        <v>0</v>
      </c>
      <c r="C11" s="21">
        <f>SUMPRODUCT((YEAR(MOVIMIENTOS!$B$5:$B$10004)=A11)*((MOVIMIENTOS!$C$5:$C$10004="Gasto")+(MOVIMIENTOS!$C$5:$C$10004="Compra"))*(MOVIMIENTOS!$P$5:$P$10004="Pagado")*MOVIMIENTOS!$O$5:$O$10004)</f>
        <v>0</v>
      </c>
      <c r="D11" s="21">
        <f t="shared" si="0"/>
        <v>0</v>
      </c>
      <c r="E11">
        <f>SUMPRODUCT((YEAR(DOCUMENTOS!$B$5:$B$10004)=A11)*(DOCUMENTOS!$L$5:$L$10004="Validado"))</f>
        <v>0</v>
      </c>
      <c r="F11">
        <f>SUMPRODUCT((YEAR(DOCUMENTOS!$B$5:$B$10004)=A11)*(DOCUMENTOS!$L$5:$L$10004="Error"))</f>
        <v>0</v>
      </c>
    </row>
    <row r="12" spans="1:6" x14ac:dyDescent="0.25">
      <c r="A12">
        <f>$B$3+7</f>
        <v>2028</v>
      </c>
      <c r="B12" s="21">
        <f>SUMPRODUCT((YEAR(MOVIMIENTOS!$B$5:$B$10004)=A12)*((MOVIMIENTOS!$C$5:$C$10004="Ingreso")+(MOVIMIENTOS!$C$5:$C$10004="Venta"))*(MOVIMIENTOS!$P$5:$P$10004="Pagado")*MOVIMIENTOS!$O$5:$O$10004)</f>
        <v>0</v>
      </c>
      <c r="C12" s="21">
        <f>SUMPRODUCT((YEAR(MOVIMIENTOS!$B$5:$B$10004)=A12)*((MOVIMIENTOS!$C$5:$C$10004="Gasto")+(MOVIMIENTOS!$C$5:$C$10004="Compra"))*(MOVIMIENTOS!$P$5:$P$10004="Pagado")*MOVIMIENTOS!$O$5:$O$10004)</f>
        <v>0</v>
      </c>
      <c r="D12" s="21">
        <f t="shared" si="0"/>
        <v>0</v>
      </c>
      <c r="E12">
        <f>SUMPRODUCT((YEAR(DOCUMENTOS!$B$5:$B$10004)=A12)*(DOCUMENTOS!$L$5:$L$10004="Validado"))</f>
        <v>0</v>
      </c>
      <c r="F12">
        <f>SUMPRODUCT((YEAR(DOCUMENTOS!$B$5:$B$10004)=A12)*(DOCUMENTOS!$L$5:$L$10004="Error"))</f>
        <v>0</v>
      </c>
    </row>
    <row r="13" spans="1:6" x14ac:dyDescent="0.25">
      <c r="A13">
        <f>$B$3+8</f>
        <v>2029</v>
      </c>
      <c r="B13" s="21">
        <f>SUMPRODUCT((YEAR(MOVIMIENTOS!$B$5:$B$10004)=A13)*((MOVIMIENTOS!$C$5:$C$10004="Ingreso")+(MOVIMIENTOS!$C$5:$C$10004="Venta"))*(MOVIMIENTOS!$P$5:$P$10004="Pagado")*MOVIMIENTOS!$O$5:$O$10004)</f>
        <v>0</v>
      </c>
      <c r="C13" s="21">
        <f>SUMPRODUCT((YEAR(MOVIMIENTOS!$B$5:$B$10004)=A13)*((MOVIMIENTOS!$C$5:$C$10004="Gasto")+(MOVIMIENTOS!$C$5:$C$10004="Compra"))*(MOVIMIENTOS!$P$5:$P$10004="Pagado")*MOVIMIENTOS!$O$5:$O$10004)</f>
        <v>0</v>
      </c>
      <c r="D13" s="21">
        <f t="shared" si="0"/>
        <v>0</v>
      </c>
      <c r="E13">
        <f>SUMPRODUCT((YEAR(DOCUMENTOS!$B$5:$B$10004)=A13)*(DOCUMENTOS!$L$5:$L$10004="Validado"))</f>
        <v>0</v>
      </c>
      <c r="F13">
        <f>SUMPRODUCT((YEAR(DOCUMENTOS!$B$5:$B$10004)=A13)*(DOCUMENTOS!$L$5:$L$10004="Error"))</f>
        <v>0</v>
      </c>
    </row>
    <row r="14" spans="1:6" x14ac:dyDescent="0.25">
      <c r="A14">
        <f>$B$3+9</f>
        <v>2030</v>
      </c>
      <c r="B14" s="21">
        <f>SUMPRODUCT((YEAR(MOVIMIENTOS!$B$5:$B$10004)=A14)*((MOVIMIENTOS!$C$5:$C$10004="Ingreso")+(MOVIMIENTOS!$C$5:$C$10004="Venta"))*(MOVIMIENTOS!$P$5:$P$10004="Pagado")*MOVIMIENTOS!$O$5:$O$10004)</f>
        <v>0</v>
      </c>
      <c r="C14" s="21">
        <f>SUMPRODUCT((YEAR(MOVIMIENTOS!$B$5:$B$10004)=A14)*((MOVIMIENTOS!$C$5:$C$10004="Gasto")+(MOVIMIENTOS!$C$5:$C$10004="Compra"))*(MOVIMIENTOS!$P$5:$P$10004="Pagado")*MOVIMIENTOS!$O$5:$O$10004)</f>
        <v>0</v>
      </c>
      <c r="D14" s="21">
        <f t="shared" si="0"/>
        <v>0</v>
      </c>
      <c r="E14">
        <f>SUMPRODUCT((YEAR(DOCUMENTOS!$B$5:$B$10004)=A14)*(DOCUMENTOS!$L$5:$L$10004="Validado"))</f>
        <v>0</v>
      </c>
      <c r="F14">
        <f>SUMPRODUCT((YEAR(DOCUMENTOS!$B$5:$B$10004)=A14)*(DOCUMENTOS!$L$5:$L$10004="Error"))</f>
        <v>0</v>
      </c>
    </row>
    <row r="15" spans="1:6" x14ac:dyDescent="0.25">
      <c r="A15">
        <f>$B$3+10</f>
        <v>2031</v>
      </c>
      <c r="B15" s="21">
        <f>SUMPRODUCT((YEAR(MOVIMIENTOS!$B$5:$B$10004)=A15)*((MOVIMIENTOS!$C$5:$C$10004="Ingreso")+(MOVIMIENTOS!$C$5:$C$10004="Venta"))*(MOVIMIENTOS!$P$5:$P$10004="Pagado")*MOVIMIENTOS!$O$5:$O$10004)</f>
        <v>0</v>
      </c>
      <c r="C15" s="21">
        <f>SUMPRODUCT((YEAR(MOVIMIENTOS!$B$5:$B$10004)=A15)*((MOVIMIENTOS!$C$5:$C$10004="Gasto")+(MOVIMIENTOS!$C$5:$C$10004="Compra"))*(MOVIMIENTOS!$P$5:$P$10004="Pagado")*MOVIMIENTOS!$O$5:$O$10004)</f>
        <v>0</v>
      </c>
      <c r="D15" s="21">
        <f t="shared" si="0"/>
        <v>0</v>
      </c>
      <c r="E15">
        <f>SUMPRODUCT((YEAR(DOCUMENTOS!$B$5:$B$10004)=A15)*(DOCUMENTOS!$L$5:$L$10004="Validado"))</f>
        <v>0</v>
      </c>
      <c r="F15">
        <f>SUMPRODUCT((YEAR(DOCUMENTOS!$B$5:$B$10004)=A15)*(DOCUMENTOS!$L$5:$L$10004="Error"))</f>
        <v>0</v>
      </c>
    </row>
    <row r="16" spans="1:6" x14ac:dyDescent="0.25">
      <c r="A16">
        <f>$B$3+11</f>
        <v>2032</v>
      </c>
      <c r="B16" s="21">
        <f>SUMPRODUCT((YEAR(MOVIMIENTOS!$B$5:$B$10004)=A16)*((MOVIMIENTOS!$C$5:$C$10004="Ingreso")+(MOVIMIENTOS!$C$5:$C$10004="Venta"))*(MOVIMIENTOS!$P$5:$P$10004="Pagado")*MOVIMIENTOS!$O$5:$O$10004)</f>
        <v>0</v>
      </c>
      <c r="C16" s="21">
        <f>SUMPRODUCT((YEAR(MOVIMIENTOS!$B$5:$B$10004)=A16)*((MOVIMIENTOS!$C$5:$C$10004="Gasto")+(MOVIMIENTOS!$C$5:$C$10004="Compra"))*(MOVIMIENTOS!$P$5:$P$10004="Pagado")*MOVIMIENTOS!$O$5:$O$10004)</f>
        <v>0</v>
      </c>
      <c r="D16" s="21">
        <f t="shared" si="0"/>
        <v>0</v>
      </c>
      <c r="E16">
        <f>SUMPRODUCT((YEAR(DOCUMENTOS!$B$5:$B$10004)=A16)*(DOCUMENTOS!$L$5:$L$10004="Validado"))</f>
        <v>0</v>
      </c>
      <c r="F16">
        <f>SUMPRODUCT((YEAR(DOCUMENTOS!$B$5:$B$10004)=A16)*(DOCUMENTOS!$L$5:$L$10004="Error"))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A5A5A"/>
  </sheetPr>
  <dimension ref="A1:I20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13" customWidth="1"/>
    <col min="4" max="5" width="12" customWidth="1"/>
    <col min="6" max="6" width="22" customWidth="1"/>
    <col min="7" max="7" width="19" customWidth="1"/>
    <col min="8" max="8" width="16" customWidth="1"/>
    <col min="9" max="9" width="15" customWidth="1"/>
  </cols>
  <sheetData>
    <row r="1" spans="1:9" ht="21" x14ac:dyDescent="0.35">
      <c r="A1" s="1" t="s">
        <v>468</v>
      </c>
    </row>
    <row r="2" spans="1:9" x14ac:dyDescent="0.25">
      <c r="A2" s="2" t="s">
        <v>469</v>
      </c>
    </row>
    <row r="4" spans="1:9" ht="27.95" customHeight="1" x14ac:dyDescent="0.25">
      <c r="A4" s="14" t="s">
        <v>311</v>
      </c>
      <c r="B4" s="14" t="s">
        <v>470</v>
      </c>
      <c r="C4" s="14" t="s">
        <v>290</v>
      </c>
      <c r="D4" s="14" t="s">
        <v>471</v>
      </c>
      <c r="E4" s="14" t="s">
        <v>472</v>
      </c>
      <c r="F4" s="14" t="s">
        <v>473</v>
      </c>
      <c r="G4" s="14" t="s">
        <v>474</v>
      </c>
      <c r="H4" s="14" t="s">
        <v>475</v>
      </c>
      <c r="I4" s="14" t="s">
        <v>463</v>
      </c>
    </row>
    <row r="5" spans="1:9" x14ac:dyDescent="0.25">
      <c r="A5" s="20"/>
    </row>
    <row r="6" spans="1:9" x14ac:dyDescent="0.25">
      <c r="A6" s="20"/>
    </row>
    <row r="7" spans="1:9" x14ac:dyDescent="0.25">
      <c r="A7" s="20"/>
    </row>
    <row r="8" spans="1:9" x14ac:dyDescent="0.25">
      <c r="A8" s="20"/>
    </row>
    <row r="9" spans="1:9" x14ac:dyDescent="0.25">
      <c r="A9" s="20"/>
    </row>
    <row r="10" spans="1:9" x14ac:dyDescent="0.25">
      <c r="A10" s="20"/>
    </row>
    <row r="11" spans="1:9" x14ac:dyDescent="0.25">
      <c r="A11" s="20"/>
    </row>
    <row r="12" spans="1:9" x14ac:dyDescent="0.25">
      <c r="A12" s="2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1" x14ac:dyDescent="0.25">
      <c r="A17" s="20"/>
    </row>
    <row r="18" spans="1:1" x14ac:dyDescent="0.25">
      <c r="A18" s="20"/>
    </row>
    <row r="19" spans="1:1" x14ac:dyDescent="0.25">
      <c r="A19" s="20"/>
    </row>
    <row r="20" spans="1:1" x14ac:dyDescent="0.25">
      <c r="A20" s="20"/>
    </row>
    <row r="21" spans="1:1" x14ac:dyDescent="0.25">
      <c r="A21" s="20"/>
    </row>
    <row r="22" spans="1:1" x14ac:dyDescent="0.25">
      <c r="A22" s="20"/>
    </row>
    <row r="23" spans="1:1" x14ac:dyDescent="0.25">
      <c r="A23" s="20"/>
    </row>
    <row r="24" spans="1:1" x14ac:dyDescent="0.25">
      <c r="A24" s="20"/>
    </row>
    <row r="25" spans="1:1" x14ac:dyDescent="0.25">
      <c r="A25" s="20"/>
    </row>
    <row r="26" spans="1:1" x14ac:dyDescent="0.25">
      <c r="A26" s="20"/>
    </row>
    <row r="27" spans="1:1" x14ac:dyDescent="0.25">
      <c r="A27" s="20"/>
    </row>
    <row r="28" spans="1:1" x14ac:dyDescent="0.25">
      <c r="A28" s="20"/>
    </row>
    <row r="29" spans="1:1" x14ac:dyDescent="0.25">
      <c r="A29" s="20"/>
    </row>
    <row r="30" spans="1:1" x14ac:dyDescent="0.25">
      <c r="A30" s="20"/>
    </row>
    <row r="31" spans="1:1" x14ac:dyDescent="0.25">
      <c r="A31" s="20"/>
    </row>
    <row r="32" spans="1: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  <row r="41" spans="1:1" x14ac:dyDescent="0.25">
      <c r="A41" s="20"/>
    </row>
    <row r="42" spans="1:1" x14ac:dyDescent="0.25">
      <c r="A42" s="20"/>
    </row>
    <row r="43" spans="1:1" x14ac:dyDescent="0.25">
      <c r="A43" s="20"/>
    </row>
    <row r="44" spans="1:1" x14ac:dyDescent="0.25">
      <c r="A44" s="20"/>
    </row>
    <row r="45" spans="1:1" x14ac:dyDescent="0.25">
      <c r="A45" s="20"/>
    </row>
    <row r="46" spans="1:1" x14ac:dyDescent="0.25">
      <c r="A46" s="20"/>
    </row>
    <row r="47" spans="1:1" x14ac:dyDescent="0.25">
      <c r="A47" s="20"/>
    </row>
    <row r="48" spans="1:1" x14ac:dyDescent="0.25">
      <c r="A48" s="20"/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x14ac:dyDescent="0.25">
      <c r="A57" s="20"/>
    </row>
    <row r="58" spans="1:1" x14ac:dyDescent="0.25">
      <c r="A58" s="20"/>
    </row>
    <row r="59" spans="1:1" x14ac:dyDescent="0.25">
      <c r="A59" s="20"/>
    </row>
    <row r="60" spans="1:1" x14ac:dyDescent="0.25">
      <c r="A60" s="20"/>
    </row>
    <row r="61" spans="1:1" x14ac:dyDescent="0.25">
      <c r="A61" s="20"/>
    </row>
    <row r="62" spans="1:1" x14ac:dyDescent="0.25">
      <c r="A62" s="20"/>
    </row>
    <row r="63" spans="1:1" x14ac:dyDescent="0.25">
      <c r="A63" s="20"/>
    </row>
    <row r="64" spans="1:1" x14ac:dyDescent="0.25">
      <c r="A64" s="20"/>
    </row>
    <row r="65" spans="1:1" x14ac:dyDescent="0.25">
      <c r="A65" s="20"/>
    </row>
    <row r="66" spans="1:1" x14ac:dyDescent="0.25">
      <c r="A66" s="20"/>
    </row>
    <row r="67" spans="1:1" x14ac:dyDescent="0.25">
      <c r="A67" s="20"/>
    </row>
    <row r="68" spans="1:1" x14ac:dyDescent="0.25">
      <c r="A68" s="20"/>
    </row>
    <row r="69" spans="1:1" x14ac:dyDescent="0.25">
      <c r="A69" s="20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5</vt:i4>
      </vt:variant>
    </vt:vector>
  </HeadingPairs>
  <TitlesOfParts>
    <vt:vector size="33" baseType="lpstr">
      <vt:lpstr>INICIO</vt:lpstr>
      <vt:lpstr>DASHBOARD</vt:lpstr>
      <vt:lpstr>MENU</vt:lpstr>
      <vt:lpstr>EMPRESA</vt:lpstr>
      <vt:lpstr>PARAMETROS</vt:lpstr>
      <vt:lpstr>CATEGORIAS</vt:lpstr>
      <vt:lpstr>IMPUESTOS</vt:lpstr>
      <vt:lpstr>TIPOS_DOCUMENTOS</vt:lpstr>
      <vt:lpstr>ESTADOS</vt:lpstr>
      <vt:lpstr>MEDIOS_PAGO</vt:lpstr>
      <vt:lpstr>USUARIOS_ROLES</vt:lpstr>
      <vt:lpstr>TERCEROS</vt:lpstr>
      <vt:lpstr>DOCUMENTOS</vt:lpstr>
      <vt:lpstr>MOVIMIENTOS</vt:lpstr>
      <vt:lpstr>PAGOS</vt:lpstr>
      <vt:lpstr>COBROS</vt:lpstr>
      <vt:lpstr>CUENTAS</vt:lpstr>
      <vt:lpstr>ASISTENTE</vt:lpstr>
      <vt:lpstr>REGLAS_IA</vt:lpstr>
      <vt:lpstr>INGRESOS</vt:lpstr>
      <vt:lpstr>GASTOS</vt:lpstr>
      <vt:lpstr>FLUJO_CAJA</vt:lpstr>
      <vt:lpstr>CXC</vt:lpstr>
      <vt:lpstr>CXP</vt:lpstr>
      <vt:lpstr>IMPUESTOS_REPORTE</vt:lpstr>
      <vt:lpstr>REPORTE_MENSUAL</vt:lpstr>
      <vt:lpstr>REPORTE_ANUAL</vt:lpstr>
      <vt:lpstr>LOG</vt:lpstr>
      <vt:lpstr>Lst_Categoria</vt:lpstr>
      <vt:lpstr>Lst_Cuenta</vt:lpstr>
      <vt:lpstr>Lst_MedioPago</vt:lpstr>
      <vt:lpstr>Lst_TerceroNombre</vt:lpstr>
      <vt:lpstr>Lst_TipoDocumentoNombre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Segovia Medina</cp:lastModifiedBy>
  <dcterms:created xsi:type="dcterms:W3CDTF">2026-10-01T02:33:02Z</dcterms:created>
  <dcterms:modified xsi:type="dcterms:W3CDTF">2026-10-01T02:37:07Z</dcterms:modified>
</cp:coreProperties>
</file>